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C:\Users\morgan gc\Desktop\EmVisage\Morgan\Statistique\Excel\QualXP V2\Plan d'expériences\"/>
    </mc:Choice>
  </mc:AlternateContent>
  <xr:revisionPtr revIDLastSave="0" documentId="13_ncr:1_{EDCFAC64-9E8E-4DAB-88D3-C70CCDB66417}" xr6:coauthVersionLast="47" xr6:coauthVersionMax="47" xr10:uidLastSave="{00000000-0000-0000-0000-000000000000}"/>
  <bookViews>
    <workbookView xWindow="-120" yWindow="-120" windowWidth="29040" windowHeight="15720" tabRatio="828" xr2:uid="{00000000-000D-0000-FFFF-FFFF00000000}"/>
  </bookViews>
  <sheets>
    <sheet name="BCE - GRR" sheetId="1" r:id="rId1"/>
    <sheet name="1F5N" sheetId="22" r:id="rId2"/>
    <sheet name="BCH - GRR destructif" sheetId="16" r:id="rId3"/>
    <sheet name="Plan hierarchisé" sheetId="19" r:id="rId4"/>
    <sheet name="Kruskal et Wallis" sheetId="18" r:id="rId5"/>
    <sheet name="Friedmann " sheetId="20" r:id="rId6"/>
    <sheet name="khi-2 ajust et indep" sheetId="21" r:id="rId7"/>
    <sheet name="Feuil1" sheetId="17" r:id="rId8"/>
    <sheet name="Récapitulatif" sheetId="9" state="hidden" r:id="rId9"/>
    <sheet name="Graph Profil" sheetId="10" state="hidden" r:id="rId10"/>
    <sheet name="80%" sheetId="11" state="hidden" r:id="rId11"/>
    <sheet name="90%" sheetId="12" state="hidden" r:id="rId12"/>
    <sheet name="100%" sheetId="13" state="hidden" r:id="rId13"/>
    <sheet name="110%" sheetId="14" state="hidden" r:id="rId14"/>
    <sheet name="120%" sheetId="15" state="hidden" r:id="rId15"/>
  </sheets>
  <externalReferences>
    <externalReference r:id="rId16"/>
  </externalReferences>
  <definedNames>
    <definedName name="__123Graph_A" localSheetId="1" hidden="1">#REF!</definedName>
    <definedName name="__123Graph_A" localSheetId="2" hidden="1">#REF!</definedName>
    <definedName name="__123Graph_A" localSheetId="3" hidden="1">#REF!</definedName>
    <definedName name="__123Graph_A" hidden="1">#REF!</definedName>
    <definedName name="__123Graph_ARG" localSheetId="2" hidden="1">#REF!</definedName>
    <definedName name="__123Graph_ARG" localSheetId="3" hidden="1">#REF!</definedName>
    <definedName name="__123Graph_ARG" hidden="1">#REF!</definedName>
    <definedName name="__123Graph_B" localSheetId="2" hidden="1">#REF!</definedName>
    <definedName name="__123Graph_B" localSheetId="3" hidden="1">#REF!</definedName>
    <definedName name="__123Graph_B" hidden="1">#REF!</definedName>
    <definedName name="__123Graph_BRG" hidden="1">#REF!</definedName>
    <definedName name="__123Graph_C" hidden="1">#REF!</definedName>
    <definedName name="__123Graph_CRG" hidden="1">#REF!</definedName>
    <definedName name="__123Graph_X" hidden="1">#REF!</definedName>
    <definedName name="__123Graph_XRG" hidden="1">#REF!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ANALYTES" localSheetId="1">#REF!</definedName>
    <definedName name="ANALYTES" localSheetId="5">'[1]validation de méthode'!$AD$6:$AD$461</definedName>
    <definedName name="ANALYTES" localSheetId="6">'[1]validation de méthode'!$AD$6:$AD$461</definedName>
    <definedName name="ANALYTES" localSheetId="4">'[1]validation de méthode'!$AD$6:$AD$461</definedName>
    <definedName name="ANALYTES" localSheetId="3">'[1]validation de méthode'!$AD$6:$AD$461</definedName>
    <definedName name="ANALYTES">#REF!</definedName>
    <definedName name="_xlnm.Print_Area" localSheetId="10">'80%'!$A$1:$I$40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9" i="22" l="1"/>
  <c r="L14" i="22"/>
  <c r="K14" i="22"/>
  <c r="J14" i="22"/>
  <c r="I14" i="22"/>
  <c r="H14" i="22"/>
  <c r="L13" i="22"/>
  <c r="K13" i="22"/>
  <c r="J13" i="22"/>
  <c r="I13" i="22"/>
  <c r="H13" i="22"/>
  <c r="L12" i="22"/>
  <c r="K12" i="22"/>
  <c r="J12" i="22"/>
  <c r="I12" i="22"/>
  <c r="H12" i="22"/>
  <c r="L11" i="22"/>
  <c r="K11" i="22"/>
  <c r="J11" i="22"/>
  <c r="I11" i="22"/>
  <c r="H11" i="22"/>
  <c r="L10" i="22"/>
  <c r="K10" i="22"/>
  <c r="J10" i="22"/>
  <c r="I10" i="22"/>
  <c r="H10" i="22"/>
  <c r="L9" i="22"/>
  <c r="K9" i="22"/>
  <c r="J9" i="22"/>
  <c r="I9" i="22"/>
  <c r="H9" i="22"/>
  <c r="L8" i="22"/>
  <c r="K8" i="22"/>
  <c r="J8" i="22"/>
  <c r="I8" i="22"/>
  <c r="H8" i="22"/>
  <c r="L7" i="22"/>
  <c r="K7" i="22"/>
  <c r="J7" i="22"/>
  <c r="I7" i="22"/>
  <c r="H7" i="22"/>
  <c r="R6" i="22"/>
  <c r="L6" i="22"/>
  <c r="K6" i="22"/>
  <c r="J6" i="22"/>
  <c r="I6" i="22"/>
  <c r="H6" i="22"/>
  <c r="R5" i="22"/>
  <c r="L5" i="22"/>
  <c r="K5" i="22"/>
  <c r="J5" i="22"/>
  <c r="I5" i="22"/>
  <c r="H5" i="22"/>
  <c r="I35" i="21"/>
  <c r="F34" i="21"/>
  <c r="F30" i="21" s="1"/>
  <c r="E34" i="21"/>
  <c r="G18" i="21"/>
  <c r="F18" i="21"/>
  <c r="I16" i="21"/>
  <c r="E10" i="21"/>
  <c r="E11" i="21" s="1"/>
  <c r="H9" i="21"/>
  <c r="H18" i="21" s="1"/>
  <c r="G9" i="21"/>
  <c r="F9" i="21"/>
  <c r="E9" i="21"/>
  <c r="E18" i="21" s="1"/>
  <c r="I8" i="21"/>
  <c r="I17" i="21" s="1"/>
  <c r="I7" i="21"/>
  <c r="K7" i="20"/>
  <c r="L7" i="20"/>
  <c r="M7" i="20"/>
  <c r="K8" i="20"/>
  <c r="L8" i="20"/>
  <c r="M8" i="20"/>
  <c r="K9" i="20"/>
  <c r="L9" i="20"/>
  <c r="M9" i="20"/>
  <c r="N10" i="20"/>
  <c r="N12" i="20"/>
  <c r="N13" i="20"/>
  <c r="N14" i="20"/>
  <c r="L33" i="20"/>
  <c r="D33" i="20"/>
  <c r="D27" i="20"/>
  <c r="D26" i="20"/>
  <c r="J24" i="20"/>
  <c r="N24" i="20" s="1"/>
  <c r="F24" i="20"/>
  <c r="E24" i="20"/>
  <c r="I24" i="20" s="1"/>
  <c r="M24" i="20" s="1"/>
  <c r="D24" i="20"/>
  <c r="H24" i="20" s="1"/>
  <c r="L24" i="20" s="1"/>
  <c r="O24" i="20" s="1"/>
  <c r="H23" i="20"/>
  <c r="L23" i="20" s="1"/>
  <c r="F23" i="20"/>
  <c r="J23" i="20" s="1"/>
  <c r="N23" i="20" s="1"/>
  <c r="E23" i="20"/>
  <c r="D23" i="20"/>
  <c r="J22" i="20"/>
  <c r="N22" i="20" s="1"/>
  <c r="F22" i="20"/>
  <c r="E22" i="20"/>
  <c r="I22" i="20" s="1"/>
  <c r="M22" i="20" s="1"/>
  <c r="D22" i="20"/>
  <c r="H22" i="20" s="1"/>
  <c r="L22" i="20" s="1"/>
  <c r="O22" i="20" s="1"/>
  <c r="H21" i="20"/>
  <c r="L21" i="20" s="1"/>
  <c r="F21" i="20"/>
  <c r="J21" i="20" s="1"/>
  <c r="N21" i="20" s="1"/>
  <c r="E21" i="20"/>
  <c r="D21" i="20"/>
  <c r="J20" i="20"/>
  <c r="N20" i="20" s="1"/>
  <c r="F20" i="20"/>
  <c r="E20" i="20"/>
  <c r="I20" i="20" s="1"/>
  <c r="M20" i="20" s="1"/>
  <c r="D20" i="20"/>
  <c r="H20" i="20" s="1"/>
  <c r="L20" i="20" s="1"/>
  <c r="O20" i="20" s="1"/>
  <c r="H19" i="20"/>
  <c r="L19" i="20" s="1"/>
  <c r="F19" i="20"/>
  <c r="J19" i="20" s="1"/>
  <c r="N19" i="20" s="1"/>
  <c r="E19" i="20"/>
  <c r="D19" i="20"/>
  <c r="J18" i="20"/>
  <c r="N18" i="20" s="1"/>
  <c r="F18" i="20"/>
  <c r="E18" i="20"/>
  <c r="I18" i="20" s="1"/>
  <c r="M18" i="20" s="1"/>
  <c r="D18" i="20"/>
  <c r="H18" i="20" s="1"/>
  <c r="L18" i="20" s="1"/>
  <c r="O18" i="20" s="1"/>
  <c r="H17" i="20"/>
  <c r="L17" i="20" s="1"/>
  <c r="F17" i="20"/>
  <c r="J17" i="20" s="1"/>
  <c r="N17" i="20" s="1"/>
  <c r="E17" i="20"/>
  <c r="D17" i="20"/>
  <c r="J16" i="20"/>
  <c r="N16" i="20" s="1"/>
  <c r="F16" i="20"/>
  <c r="E16" i="20"/>
  <c r="I16" i="20" s="1"/>
  <c r="M16" i="20" s="1"/>
  <c r="D16" i="20"/>
  <c r="H16" i="20" s="1"/>
  <c r="L16" i="20" s="1"/>
  <c r="O16" i="20" s="1"/>
  <c r="H15" i="20"/>
  <c r="L15" i="20" s="1"/>
  <c r="F15" i="20"/>
  <c r="J15" i="20" s="1"/>
  <c r="N15" i="20" s="1"/>
  <c r="E15" i="20"/>
  <c r="D15" i="20"/>
  <c r="H25" i="20" s="1"/>
  <c r="L25" i="20" s="1"/>
  <c r="O14" i="20"/>
  <c r="I14" i="20"/>
  <c r="H14" i="20"/>
  <c r="G14" i="20"/>
  <c r="J14" i="20" s="1"/>
  <c r="O13" i="20"/>
  <c r="J13" i="20"/>
  <c r="I13" i="20"/>
  <c r="H13" i="20"/>
  <c r="G13" i="20"/>
  <c r="O12" i="20"/>
  <c r="I12" i="20"/>
  <c r="J12" i="20" s="1"/>
  <c r="H12" i="20"/>
  <c r="G12" i="20"/>
  <c r="O11" i="20"/>
  <c r="N11" i="20"/>
  <c r="I11" i="20"/>
  <c r="H11" i="20"/>
  <c r="G11" i="20"/>
  <c r="J11" i="20" s="1"/>
  <c r="O10" i="20"/>
  <c r="I10" i="20"/>
  <c r="J10" i="20" s="1"/>
  <c r="H10" i="20"/>
  <c r="G10" i="20"/>
  <c r="O9" i="20"/>
  <c r="J9" i="20"/>
  <c r="I9" i="20"/>
  <c r="H9" i="20"/>
  <c r="G9" i="20"/>
  <c r="O8" i="20"/>
  <c r="I8" i="20"/>
  <c r="H8" i="20"/>
  <c r="G8" i="20"/>
  <c r="J8" i="20" s="1"/>
  <c r="O7" i="20"/>
  <c r="I7" i="20"/>
  <c r="H7" i="20"/>
  <c r="G7" i="20"/>
  <c r="J7" i="20" s="1"/>
  <c r="O6" i="20"/>
  <c r="N6" i="20"/>
  <c r="J6" i="20"/>
  <c r="I6" i="20"/>
  <c r="H6" i="20"/>
  <c r="G6" i="20"/>
  <c r="O5" i="20"/>
  <c r="I5" i="20"/>
  <c r="H5" i="20"/>
  <c r="G5" i="20"/>
  <c r="J5" i="20" s="1"/>
  <c r="I32" i="19"/>
  <c r="J32" i="19" s="1"/>
  <c r="I31" i="19"/>
  <c r="K31" i="19" s="1"/>
  <c r="I30" i="19"/>
  <c r="J30" i="19" s="1"/>
  <c r="I29" i="19"/>
  <c r="K29" i="19" s="1"/>
  <c r="I28" i="19"/>
  <c r="K28" i="19" s="1"/>
  <c r="I27" i="19"/>
  <c r="K27" i="19" s="1"/>
  <c r="I26" i="19"/>
  <c r="J26" i="19" s="1"/>
  <c r="I25" i="19"/>
  <c r="J25" i="19" s="1"/>
  <c r="I24" i="19"/>
  <c r="J24" i="19" s="1"/>
  <c r="I23" i="19"/>
  <c r="K23" i="19" s="1"/>
  <c r="I22" i="19"/>
  <c r="J22" i="19" s="1"/>
  <c r="I21" i="19"/>
  <c r="K21" i="19" s="1"/>
  <c r="I20" i="19"/>
  <c r="K20" i="19" s="1"/>
  <c r="I19" i="19"/>
  <c r="K19" i="19" s="1"/>
  <c r="I18" i="19"/>
  <c r="K18" i="19" s="1"/>
  <c r="I17" i="19"/>
  <c r="J17" i="19" s="1"/>
  <c r="I16" i="19"/>
  <c r="J16" i="19" s="1"/>
  <c r="I15" i="19"/>
  <c r="J15" i="19" s="1"/>
  <c r="I14" i="19"/>
  <c r="J14" i="19" s="1"/>
  <c r="I13" i="19"/>
  <c r="J13" i="19" s="1"/>
  <c r="I12" i="19"/>
  <c r="K12" i="19" s="1"/>
  <c r="M11" i="19"/>
  <c r="M12" i="19" s="1"/>
  <c r="Q12" i="19" s="1"/>
  <c r="I11" i="19"/>
  <c r="J11" i="19" s="1"/>
  <c r="Q10" i="19"/>
  <c r="I10" i="19"/>
  <c r="K10" i="19" s="1"/>
  <c r="I9" i="19"/>
  <c r="K9" i="19" s="1"/>
  <c r="I8" i="19"/>
  <c r="K8" i="19" s="1"/>
  <c r="I7" i="19"/>
  <c r="K7" i="19" s="1"/>
  <c r="I6" i="19"/>
  <c r="Z9" i="22" l="1"/>
  <c r="N14" i="22"/>
  <c r="AC9" i="22"/>
  <c r="AA9" i="22"/>
  <c r="N13" i="22"/>
  <c r="E39" i="22"/>
  <c r="D39" i="22"/>
  <c r="H39" i="22" s="1"/>
  <c r="E36" i="22"/>
  <c r="Y9" i="22"/>
  <c r="R46" i="22"/>
  <c r="G36" i="22"/>
  <c r="Q11" i="22"/>
  <c r="I15" i="22"/>
  <c r="Z10" i="22" s="1"/>
  <c r="Q12" i="22"/>
  <c r="L15" i="22"/>
  <c r="AC10" i="22" s="1"/>
  <c r="R47" i="22"/>
  <c r="J15" i="22"/>
  <c r="AA10" i="22" s="1"/>
  <c r="K15" i="22"/>
  <c r="AB10" i="22" s="1"/>
  <c r="Q8" i="22"/>
  <c r="H15" i="22"/>
  <c r="D36" i="22"/>
  <c r="H36" i="22" s="1"/>
  <c r="AB9" i="22"/>
  <c r="G17" i="21"/>
  <c r="G23" i="21" s="1"/>
  <c r="E17" i="21"/>
  <c r="E23" i="21" s="1"/>
  <c r="G30" i="21"/>
  <c r="F31" i="21"/>
  <c r="F17" i="21"/>
  <c r="F23" i="21" s="1"/>
  <c r="I9" i="21"/>
  <c r="I18" i="21" s="1"/>
  <c r="H16" i="21" s="1"/>
  <c r="H22" i="21" s="1"/>
  <c r="G16" i="21"/>
  <c r="G22" i="21" s="1"/>
  <c r="G24" i="21" s="1"/>
  <c r="L5" i="20"/>
  <c r="G31" i="20"/>
  <c r="M5" i="20"/>
  <c r="M4" i="20" s="1"/>
  <c r="G32" i="20"/>
  <c r="K5" i="20"/>
  <c r="O15" i="20"/>
  <c r="O23" i="20"/>
  <c r="K25" i="19"/>
  <c r="I15" i="20"/>
  <c r="M15" i="20" s="1"/>
  <c r="I21" i="20"/>
  <c r="M21" i="20" s="1"/>
  <c r="O21" i="20" s="1"/>
  <c r="N9" i="20"/>
  <c r="I17" i="20"/>
  <c r="M17" i="20" s="1"/>
  <c r="O17" i="20" s="1"/>
  <c r="L30" i="20" s="1"/>
  <c r="I19" i="20"/>
  <c r="M19" i="20" s="1"/>
  <c r="O19" i="20" s="1"/>
  <c r="I23" i="20"/>
  <c r="M23" i="20" s="1"/>
  <c r="K16" i="19"/>
  <c r="K14" i="19"/>
  <c r="N7" i="19"/>
  <c r="J21" i="19"/>
  <c r="K30" i="19"/>
  <c r="J7" i="19"/>
  <c r="J9" i="19"/>
  <c r="K15" i="19"/>
  <c r="K26" i="19"/>
  <c r="J29" i="19"/>
  <c r="K17" i="19"/>
  <c r="K22" i="19"/>
  <c r="N10" i="19"/>
  <c r="J6" i="19"/>
  <c r="P7" i="19"/>
  <c r="J12" i="19"/>
  <c r="J20" i="19"/>
  <c r="J28" i="19"/>
  <c r="K6" i="19"/>
  <c r="M7" i="19"/>
  <c r="Q7" i="19" s="1"/>
  <c r="J8" i="19"/>
  <c r="J10" i="19"/>
  <c r="K11" i="19"/>
  <c r="K13" i="19"/>
  <c r="J18" i="19"/>
  <c r="J19" i="19"/>
  <c r="J23" i="19"/>
  <c r="K24" i="19"/>
  <c r="J27" i="19"/>
  <c r="J31" i="19"/>
  <c r="K32" i="19"/>
  <c r="N11" i="19"/>
  <c r="Q11" i="19"/>
  <c r="Q36" i="22" l="1"/>
  <c r="Y10" i="22"/>
  <c r="F36" i="22"/>
  <c r="P43" i="22"/>
  <c r="I36" i="22"/>
  <c r="H37" i="22"/>
  <c r="Q37" i="22"/>
  <c r="F39" i="22"/>
  <c r="H30" i="21"/>
  <c r="H17" i="21"/>
  <c r="H23" i="21" s="1"/>
  <c r="H24" i="21" s="1"/>
  <c r="G31" i="21"/>
  <c r="H31" i="21" s="1"/>
  <c r="I31" i="21" s="1"/>
  <c r="F32" i="21"/>
  <c r="F16" i="21"/>
  <c r="F22" i="21" s="1"/>
  <c r="F24" i="21" s="1"/>
  <c r="E16" i="21"/>
  <c r="E22" i="21" s="1"/>
  <c r="O11" i="19"/>
  <c r="O33" i="20"/>
  <c r="D31" i="20"/>
  <c r="O31" i="20"/>
  <c r="N8" i="20"/>
  <c r="O32" i="20"/>
  <c r="N7" i="20"/>
  <c r="N5" i="20"/>
  <c r="K4" i="20"/>
  <c r="L4" i="20"/>
  <c r="O10" i="19"/>
  <c r="T11" i="19"/>
  <c r="Q8" i="19"/>
  <c r="Q9" i="19"/>
  <c r="T12" i="19" s="1"/>
  <c r="K33" i="19"/>
  <c r="R7" i="19"/>
  <c r="T10" i="19"/>
  <c r="N12" i="19"/>
  <c r="O12" i="19" s="1"/>
  <c r="O7" i="19"/>
  <c r="P12" i="19" l="1"/>
  <c r="U12" i="19" s="1"/>
  <c r="G39" i="22"/>
  <c r="Q9" i="22"/>
  <c r="H38" i="22"/>
  <c r="G32" i="21"/>
  <c r="F33" i="21"/>
  <c r="G33" i="21" s="1"/>
  <c r="H33" i="21" s="1"/>
  <c r="I33" i="21" s="1"/>
  <c r="I23" i="21"/>
  <c r="I30" i="21"/>
  <c r="I22" i="21"/>
  <c r="E24" i="21"/>
  <c r="P10" i="19"/>
  <c r="U10" i="19" s="1"/>
  <c r="P11" i="19"/>
  <c r="R11" i="19" s="1"/>
  <c r="T8" i="19"/>
  <c r="D30" i="20"/>
  <c r="D32" i="20" s="1"/>
  <c r="D34" i="20" s="1"/>
  <c r="L31" i="20"/>
  <c r="L32" i="20" s="1"/>
  <c r="L34" i="20" s="1"/>
  <c r="Q10" i="22" l="1"/>
  <c r="W57" i="22"/>
  <c r="W37" i="22"/>
  <c r="W66" i="22"/>
  <c r="W50" i="22"/>
  <c r="W71" i="22"/>
  <c r="W55" i="22"/>
  <c r="W45" i="22"/>
  <c r="W60" i="22"/>
  <c r="W25" i="22"/>
  <c r="W68" i="22"/>
  <c r="W26" i="22"/>
  <c r="W52" i="22"/>
  <c r="W20" i="22"/>
  <c r="W56" i="22"/>
  <c r="W11" i="22"/>
  <c r="W17" i="22"/>
  <c r="W15" i="22"/>
  <c r="W61" i="22"/>
  <c r="W35" i="22"/>
  <c r="W46" i="22"/>
  <c r="W29" i="22"/>
  <c r="W48" i="22"/>
  <c r="W32" i="22"/>
  <c r="W13" i="22"/>
  <c r="W14" i="22"/>
  <c r="W69" i="22"/>
  <c r="W53" i="22"/>
  <c r="W34" i="22"/>
  <c r="W62" i="22"/>
  <c r="W43" i="22"/>
  <c r="W67" i="22"/>
  <c r="W51" i="22"/>
  <c r="W44" i="22"/>
  <c r="W41" i="22"/>
  <c r="W21" i="22"/>
  <c r="W27" i="22"/>
  <c r="W22" i="22"/>
  <c r="W40" i="22"/>
  <c r="W23" i="22"/>
  <c r="W28" i="22"/>
  <c r="W36" i="22"/>
  <c r="W65" i="22"/>
  <c r="W49" i="22"/>
  <c r="W30" i="22"/>
  <c r="W58" i="22"/>
  <c r="W38" i="22"/>
  <c r="W63" i="22"/>
  <c r="W47" i="22"/>
  <c r="W31" i="22"/>
  <c r="W64" i="22"/>
  <c r="W18" i="22"/>
  <c r="W33" i="22"/>
  <c r="W24" i="22"/>
  <c r="W19" i="22"/>
  <c r="W42" i="22"/>
  <c r="W70" i="22"/>
  <c r="W54" i="22"/>
  <c r="W59" i="22"/>
  <c r="W39" i="22"/>
  <c r="Q13" i="22"/>
  <c r="W12" i="22"/>
  <c r="W16" i="22"/>
  <c r="R12" i="19"/>
  <c r="S11" i="19" s="1"/>
  <c r="K39" i="22"/>
  <c r="I39" i="22"/>
  <c r="L39" i="22"/>
  <c r="G37" i="22"/>
  <c r="K37" i="22"/>
  <c r="P8" i="19"/>
  <c r="U8" i="19" s="1"/>
  <c r="U11" i="19"/>
  <c r="R10" i="19"/>
  <c r="I24" i="21"/>
  <c r="E12" i="21" s="1"/>
  <c r="H32" i="21"/>
  <c r="G34" i="21"/>
  <c r="S10" i="19"/>
  <c r="P9" i="19" l="1"/>
  <c r="L15" i="19" s="1"/>
  <c r="R8" i="19"/>
  <c r="AA42" i="22"/>
  <c r="Z42" i="22"/>
  <c r="AC42" i="22"/>
  <c r="Y42" i="22"/>
  <c r="X42" i="22"/>
  <c r="AB42" i="22"/>
  <c r="AC63" i="22"/>
  <c r="Y63" i="22"/>
  <c r="AB63" i="22"/>
  <c r="X63" i="22"/>
  <c r="AA63" i="22"/>
  <c r="Z63" i="22"/>
  <c r="AC23" i="22"/>
  <c r="Y23" i="22"/>
  <c r="AB23" i="22"/>
  <c r="X23" i="22"/>
  <c r="Z23" i="22"/>
  <c r="AA23" i="22"/>
  <c r="AC67" i="22"/>
  <c r="Y67" i="22"/>
  <c r="AB67" i="22"/>
  <c r="X67" i="22"/>
  <c r="AA67" i="22"/>
  <c r="Z67" i="22"/>
  <c r="AC32" i="22"/>
  <c r="Y32" i="22"/>
  <c r="AA32" i="22"/>
  <c r="X32" i="22"/>
  <c r="Z32" i="22"/>
  <c r="AB32" i="22"/>
  <c r="AC11" i="22"/>
  <c r="Y11" i="22"/>
  <c r="AB11" i="22"/>
  <c r="X11" i="22"/>
  <c r="AA11" i="22"/>
  <c r="Z11" i="22"/>
  <c r="AB26" i="22"/>
  <c r="X26" i="22"/>
  <c r="AA26" i="22"/>
  <c r="AC26" i="22"/>
  <c r="Z26" i="22"/>
  <c r="Y26" i="22"/>
  <c r="AC45" i="22"/>
  <c r="Y45" i="22"/>
  <c r="AB45" i="22"/>
  <c r="X45" i="22"/>
  <c r="AA45" i="22"/>
  <c r="Z45" i="22"/>
  <c r="AC59" i="22"/>
  <c r="Y59" i="22"/>
  <c r="AB59" i="22"/>
  <c r="X59" i="22"/>
  <c r="AA59" i="22"/>
  <c r="Z59" i="22"/>
  <c r="Z64" i="22"/>
  <c r="AC64" i="22"/>
  <c r="Y64" i="22"/>
  <c r="AB64" i="22"/>
  <c r="X64" i="22"/>
  <c r="AA64" i="22"/>
  <c r="AA65" i="22"/>
  <c r="Z65" i="22"/>
  <c r="AC65" i="22"/>
  <c r="Y65" i="22"/>
  <c r="AB65" i="22"/>
  <c r="X65" i="22"/>
  <c r="Z40" i="22"/>
  <c r="AC40" i="22"/>
  <c r="Y40" i="22"/>
  <c r="AB40" i="22"/>
  <c r="X40" i="22"/>
  <c r="AA40" i="22"/>
  <c r="AB43" i="22"/>
  <c r="X43" i="22"/>
  <c r="AA43" i="22"/>
  <c r="Z43" i="22"/>
  <c r="AC43" i="22"/>
  <c r="Y43" i="22"/>
  <c r="AA69" i="22"/>
  <c r="Z69" i="22"/>
  <c r="AC69" i="22"/>
  <c r="Y69" i="22"/>
  <c r="X69" i="22"/>
  <c r="AB69" i="22"/>
  <c r="Z48" i="22"/>
  <c r="AC48" i="22"/>
  <c r="Y48" i="22"/>
  <c r="AB48" i="22"/>
  <c r="X48" i="22"/>
  <c r="AA48" i="22"/>
  <c r="AA61" i="22"/>
  <c r="Z61" i="22"/>
  <c r="AC61" i="22"/>
  <c r="Y61" i="22"/>
  <c r="AB61" i="22"/>
  <c r="X61" i="22"/>
  <c r="Z56" i="22"/>
  <c r="AC56" i="22"/>
  <c r="Y56" i="22"/>
  <c r="AB56" i="22"/>
  <c r="X56" i="22"/>
  <c r="AA56" i="22"/>
  <c r="Z68" i="22"/>
  <c r="AC68" i="22"/>
  <c r="Y68" i="22"/>
  <c r="AB68" i="22"/>
  <c r="X68" i="22"/>
  <c r="AA68" i="22"/>
  <c r="AC55" i="22"/>
  <c r="Y55" i="22"/>
  <c r="AB55" i="22"/>
  <c r="X55" i="22"/>
  <c r="AA55" i="22"/>
  <c r="Z55" i="22"/>
  <c r="AA37" i="22"/>
  <c r="Z37" i="22"/>
  <c r="X37" i="22"/>
  <c r="AC37" i="22"/>
  <c r="AB37" i="22"/>
  <c r="Y37" i="22"/>
  <c r="AB12" i="22"/>
  <c r="X12" i="22"/>
  <c r="AA12" i="22"/>
  <c r="Z12" i="22"/>
  <c r="Y12" i="22"/>
  <c r="AC12" i="22"/>
  <c r="AB54" i="22"/>
  <c r="X54" i="22"/>
  <c r="AA54" i="22"/>
  <c r="Z54" i="22"/>
  <c r="Y54" i="22"/>
  <c r="AC54" i="22"/>
  <c r="Z24" i="22"/>
  <c r="AC24" i="22"/>
  <c r="Y24" i="22"/>
  <c r="AA24" i="22"/>
  <c r="X24" i="22"/>
  <c r="AB24" i="22"/>
  <c r="AB31" i="22"/>
  <c r="X31" i="22"/>
  <c r="AC31" i="22"/>
  <c r="AA31" i="22"/>
  <c r="Z31" i="22"/>
  <c r="Y31" i="22"/>
  <c r="AB58" i="22"/>
  <c r="X58" i="22"/>
  <c r="AA58" i="22"/>
  <c r="Z58" i="22"/>
  <c r="AC58" i="22"/>
  <c r="Y58" i="22"/>
  <c r="AC36" i="22"/>
  <c r="Y36" i="22"/>
  <c r="AB36" i="22"/>
  <c r="X36" i="22"/>
  <c r="AA36" i="22"/>
  <c r="Z36" i="22"/>
  <c r="AB22" i="22"/>
  <c r="X22" i="22"/>
  <c r="AA22" i="22"/>
  <c r="Y22" i="22"/>
  <c r="AC22" i="22"/>
  <c r="Z22" i="22"/>
  <c r="AC44" i="22"/>
  <c r="Y44" i="22"/>
  <c r="AB44" i="22"/>
  <c r="X44" i="22"/>
  <c r="AA44" i="22"/>
  <c r="Z44" i="22"/>
  <c r="AB62" i="22"/>
  <c r="X62" i="22"/>
  <c r="AA62" i="22"/>
  <c r="Z62" i="22"/>
  <c r="Y62" i="22"/>
  <c r="AC62" i="22"/>
  <c r="AC14" i="22"/>
  <c r="Y14" i="22"/>
  <c r="AB14" i="22"/>
  <c r="X14" i="22"/>
  <c r="AA14" i="22"/>
  <c r="Z14" i="22"/>
  <c r="AA29" i="22"/>
  <c r="Y29" i="22"/>
  <c r="Z29" i="22"/>
  <c r="AC29" i="22"/>
  <c r="X29" i="22"/>
  <c r="AB29" i="22"/>
  <c r="AC15" i="22"/>
  <c r="Y15" i="22"/>
  <c r="AB15" i="22"/>
  <c r="X15" i="22"/>
  <c r="Z15" i="22"/>
  <c r="AA15" i="22"/>
  <c r="Z20" i="22"/>
  <c r="AC20" i="22"/>
  <c r="Y20" i="22"/>
  <c r="AB20" i="22"/>
  <c r="AA20" i="22"/>
  <c r="X20" i="22"/>
  <c r="AA25" i="22"/>
  <c r="Z25" i="22"/>
  <c r="AB25" i="22"/>
  <c r="Y25" i="22"/>
  <c r="X25" i="22"/>
  <c r="AC25" i="22"/>
  <c r="AC71" i="22"/>
  <c r="Y71" i="22"/>
  <c r="AB71" i="22"/>
  <c r="X71" i="22"/>
  <c r="AA71" i="22"/>
  <c r="Z71" i="22"/>
  <c r="AA57" i="22"/>
  <c r="Z57" i="22"/>
  <c r="AC57" i="22"/>
  <c r="Y57" i="22"/>
  <c r="AB57" i="22"/>
  <c r="X57" i="22"/>
  <c r="AC39" i="22"/>
  <c r="Y39" i="22"/>
  <c r="AB39" i="22"/>
  <c r="X39" i="22"/>
  <c r="AA39" i="22"/>
  <c r="Z39" i="22"/>
  <c r="AB18" i="22"/>
  <c r="X18" i="22"/>
  <c r="AA18" i="22"/>
  <c r="AC18" i="22"/>
  <c r="Z18" i="22"/>
  <c r="Y18" i="22"/>
  <c r="AA49" i="22"/>
  <c r="Z49" i="22"/>
  <c r="AC49" i="22"/>
  <c r="Y49" i="22"/>
  <c r="AB49" i="22"/>
  <c r="X49" i="22"/>
  <c r="AA21" i="22"/>
  <c r="Z21" i="22"/>
  <c r="X21" i="22"/>
  <c r="AC21" i="22"/>
  <c r="AB21" i="22"/>
  <c r="Y21" i="22"/>
  <c r="AA53" i="22"/>
  <c r="Z53" i="22"/>
  <c r="AC53" i="22"/>
  <c r="Y53" i="22"/>
  <c r="X53" i="22"/>
  <c r="AB53" i="22"/>
  <c r="AB35" i="22"/>
  <c r="X35" i="22"/>
  <c r="AA35" i="22"/>
  <c r="AC35" i="22"/>
  <c r="Y35" i="22"/>
  <c r="Z35" i="22"/>
  <c r="AB66" i="22"/>
  <c r="X66" i="22"/>
  <c r="AA66" i="22"/>
  <c r="Z66" i="22"/>
  <c r="AC66" i="22"/>
  <c r="Y66" i="22"/>
  <c r="Z16" i="22"/>
  <c r="AC16" i="22"/>
  <c r="Y16" i="22"/>
  <c r="AA16" i="22"/>
  <c r="X16" i="22"/>
  <c r="AB16" i="22"/>
  <c r="AC19" i="22"/>
  <c r="Y19" i="22"/>
  <c r="AB19" i="22"/>
  <c r="X19" i="22"/>
  <c r="AA19" i="22"/>
  <c r="Z19" i="22"/>
  <c r="AB38" i="22"/>
  <c r="X38" i="22"/>
  <c r="AA38" i="22"/>
  <c r="AC38" i="22"/>
  <c r="Z38" i="22"/>
  <c r="Y38" i="22"/>
  <c r="Z41" i="22"/>
  <c r="AC41" i="22"/>
  <c r="Y41" i="22"/>
  <c r="AB41" i="22"/>
  <c r="X41" i="22"/>
  <c r="AA41" i="22"/>
  <c r="I37" i="22"/>
  <c r="L37" i="22"/>
  <c r="D41" i="22" s="1"/>
  <c r="G38" i="22"/>
  <c r="AB70" i="22"/>
  <c r="X70" i="22"/>
  <c r="AA70" i="22"/>
  <c r="Z70" i="22"/>
  <c r="AC70" i="22"/>
  <c r="Y70" i="22"/>
  <c r="Z33" i="22"/>
  <c r="AC33" i="22"/>
  <c r="Y33" i="22"/>
  <c r="AA33" i="22"/>
  <c r="X33" i="22"/>
  <c r="AB33" i="22"/>
  <c r="AC47" i="22"/>
  <c r="Y47" i="22"/>
  <c r="AB47" i="22"/>
  <c r="X47" i="22"/>
  <c r="AA47" i="22"/>
  <c r="Z47" i="22"/>
  <c r="AA30" i="22"/>
  <c r="Y30" i="22"/>
  <c r="AB30" i="22"/>
  <c r="AC30" i="22"/>
  <c r="X30" i="22"/>
  <c r="Z30" i="22"/>
  <c r="Z28" i="22"/>
  <c r="X28" i="22"/>
  <c r="AC28" i="22"/>
  <c r="Y28" i="22"/>
  <c r="AB28" i="22"/>
  <c r="AA28" i="22"/>
  <c r="AC27" i="22"/>
  <c r="Y27" i="22"/>
  <c r="AB27" i="22"/>
  <c r="X27" i="22"/>
  <c r="AA27" i="22"/>
  <c r="Z27" i="22"/>
  <c r="AC51" i="22"/>
  <c r="Y51" i="22"/>
  <c r="AB51" i="22"/>
  <c r="X51" i="22"/>
  <c r="AA51" i="22"/>
  <c r="Z51" i="22"/>
  <c r="AA34" i="22"/>
  <c r="Z34" i="22"/>
  <c r="AB34" i="22"/>
  <c r="X34" i="22"/>
  <c r="Y34" i="22"/>
  <c r="AC34" i="22"/>
  <c r="Z13" i="22"/>
  <c r="AC13" i="22"/>
  <c r="Y13" i="22"/>
  <c r="X13" i="22"/>
  <c r="AB13" i="22"/>
  <c r="AA13" i="22"/>
  <c r="AC46" i="22"/>
  <c r="Y46" i="22"/>
  <c r="AB46" i="22"/>
  <c r="X46" i="22"/>
  <c r="AA46" i="22"/>
  <c r="Z46" i="22"/>
  <c r="AA17" i="22"/>
  <c r="Z17" i="22"/>
  <c r="AB17" i="22"/>
  <c r="Y17" i="22"/>
  <c r="X17" i="22"/>
  <c r="AC17" i="22"/>
  <c r="Z52" i="22"/>
  <c r="AC52" i="22"/>
  <c r="Y52" i="22"/>
  <c r="AB52" i="22"/>
  <c r="X52" i="22"/>
  <c r="AA52" i="22"/>
  <c r="Z60" i="22"/>
  <c r="AC60" i="22"/>
  <c r="Y60" i="22"/>
  <c r="AB60" i="22"/>
  <c r="X60" i="22"/>
  <c r="AA60" i="22"/>
  <c r="AB50" i="22"/>
  <c r="X50" i="22"/>
  <c r="AA50" i="22"/>
  <c r="Z50" i="22"/>
  <c r="AC50" i="22"/>
  <c r="Y50" i="22"/>
  <c r="P44" i="22"/>
  <c r="Q44" i="22"/>
  <c r="I32" i="21"/>
  <c r="I34" i="21" s="1"/>
  <c r="H34" i="21"/>
  <c r="N15" i="19"/>
  <c r="U9" i="19" l="1"/>
  <c r="U7" i="19" s="1"/>
  <c r="R9" i="19"/>
  <c r="S8" i="19" s="1"/>
  <c r="I38" i="22"/>
  <c r="J37" i="22" s="1"/>
  <c r="L38" i="22"/>
  <c r="L36" i="22" s="1"/>
  <c r="T5" i="22"/>
  <c r="T6" i="22" s="1"/>
  <c r="L18" i="19"/>
  <c r="S12" i="19"/>
  <c r="L43" i="22" l="1"/>
  <c r="M43" i="22" s="1"/>
  <c r="D45" i="22"/>
  <c r="D43" i="22"/>
  <c r="L44" i="22"/>
  <c r="M44" i="22" s="1"/>
  <c r="J39" i="22"/>
  <c r="M39" i="22" s="1"/>
  <c r="N39" i="22" s="1"/>
  <c r="E24" i="18"/>
  <c r="H21" i="18"/>
  <c r="I21" i="18" s="1"/>
  <c r="I20" i="18"/>
  <c r="H20" i="18"/>
  <c r="H19" i="18"/>
  <c r="I19" i="18" s="1"/>
  <c r="I18" i="18"/>
  <c r="H18" i="18"/>
  <c r="H17" i="18"/>
  <c r="I17" i="18" s="1"/>
  <c r="I16" i="18"/>
  <c r="H16" i="18"/>
  <c r="H15" i="18"/>
  <c r="I15" i="18" s="1"/>
  <c r="I14" i="18"/>
  <c r="H14" i="18"/>
  <c r="H13" i="18"/>
  <c r="I13" i="18" s="1"/>
  <c r="I12" i="18"/>
  <c r="H12" i="18"/>
  <c r="H11" i="18"/>
  <c r="I11" i="18" s="1"/>
  <c r="I10" i="18"/>
  <c r="H10" i="18"/>
  <c r="H9" i="18"/>
  <c r="I9" i="18" s="1"/>
  <c r="J9" i="18" s="1"/>
  <c r="I8" i="18"/>
  <c r="H8" i="18"/>
  <c r="H7" i="18"/>
  <c r="I7" i="18" s="1"/>
  <c r="Q19" i="1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5" i="16"/>
  <c r="D58" i="16"/>
  <c r="Q15" i="1"/>
  <c r="Q16" i="1"/>
  <c r="N57" i="1"/>
  <c r="D57" i="16"/>
  <c r="H58" i="16" s="1"/>
  <c r="C57" i="16"/>
  <c r="D56" i="16"/>
  <c r="H56" i="16" s="1"/>
  <c r="C56" i="16"/>
  <c r="N5" i="16"/>
  <c r="P4" i="16"/>
  <c r="P5" i="16" s="1"/>
  <c r="N4" i="16"/>
  <c r="M3" i="16"/>
  <c r="L3" i="16"/>
  <c r="K62" i="1"/>
  <c r="G61" i="1"/>
  <c r="G59" i="1"/>
  <c r="G58" i="1"/>
  <c r="J64" i="1"/>
  <c r="U6" i="1"/>
  <c r="Q58" i="1"/>
  <c r="J14" i="18" l="1"/>
  <c r="J7" i="18"/>
  <c r="J12" i="18"/>
  <c r="J20" i="18"/>
  <c r="J10" i="18"/>
  <c r="J13" i="18"/>
  <c r="J18" i="18"/>
  <c r="J21" i="18"/>
  <c r="K9" i="18"/>
  <c r="M9" i="18"/>
  <c r="D9" i="18" s="1"/>
  <c r="L9" i="18"/>
  <c r="J17" i="18"/>
  <c r="J15" i="18"/>
  <c r="J8" i="18"/>
  <c r="J11" i="18"/>
  <c r="J16" i="18"/>
  <c r="J19" i="18"/>
  <c r="G53" i="16"/>
  <c r="K17" i="16"/>
  <c r="K29" i="16"/>
  <c r="K14" i="16"/>
  <c r="K26" i="16"/>
  <c r="K11" i="16"/>
  <c r="K8" i="16"/>
  <c r="K23" i="16"/>
  <c r="K20" i="16"/>
  <c r="E56" i="16"/>
  <c r="M7" i="16"/>
  <c r="E53" i="16"/>
  <c r="M11" i="16"/>
  <c r="K5" i="16"/>
  <c r="E57" i="16"/>
  <c r="M10" i="16"/>
  <c r="D53" i="16"/>
  <c r="H53" i="16" s="1"/>
  <c r="H57" i="16"/>
  <c r="H54" i="16" s="1"/>
  <c r="D58" i="1"/>
  <c r="L16" i="18" l="1"/>
  <c r="M16" i="18"/>
  <c r="D16" i="18" s="1"/>
  <c r="K16" i="18"/>
  <c r="M20" i="18"/>
  <c r="D20" i="18" s="1"/>
  <c r="K20" i="18"/>
  <c r="L20" i="18"/>
  <c r="M11" i="18"/>
  <c r="D11" i="18" s="1"/>
  <c r="L11" i="18"/>
  <c r="K11" i="18"/>
  <c r="L18" i="18"/>
  <c r="M18" i="18"/>
  <c r="D18" i="18" s="1"/>
  <c r="K18" i="18"/>
  <c r="L12" i="18"/>
  <c r="K12" i="18"/>
  <c r="M12" i="18"/>
  <c r="D12" i="18" s="1"/>
  <c r="K21" i="18"/>
  <c r="M21" i="18" s="1"/>
  <c r="D21" i="18" s="1"/>
  <c r="L21" i="18"/>
  <c r="K8" i="18"/>
  <c r="M8" i="18"/>
  <c r="D8" i="18" s="1"/>
  <c r="L8" i="18"/>
  <c r="M13" i="18"/>
  <c r="D13" i="18" s="1"/>
  <c r="L13" i="18"/>
  <c r="K13" i="18"/>
  <c r="M7" i="18"/>
  <c r="D7" i="18" s="1"/>
  <c r="L7" i="18"/>
  <c r="K7" i="18"/>
  <c r="K17" i="18"/>
  <c r="L17" i="18"/>
  <c r="M17" i="18"/>
  <c r="D17" i="18" s="1"/>
  <c r="M19" i="18"/>
  <c r="D19" i="18" s="1"/>
  <c r="L19" i="18"/>
  <c r="K19" i="18"/>
  <c r="K15" i="18"/>
  <c r="L15" i="18"/>
  <c r="M15" i="18"/>
  <c r="D15" i="18" s="1"/>
  <c r="L10" i="18"/>
  <c r="K10" i="18"/>
  <c r="M10" i="18"/>
  <c r="D10" i="18" s="1"/>
  <c r="M14" i="18"/>
  <c r="D14" i="18" s="1"/>
  <c r="K14" i="18"/>
  <c r="L14" i="18"/>
  <c r="F57" i="16"/>
  <c r="F53" i="16"/>
  <c r="H55" i="16"/>
  <c r="I53" i="16"/>
  <c r="M61" i="16" s="1"/>
  <c r="F56" i="16"/>
  <c r="D62" i="1"/>
  <c r="C62" i="1"/>
  <c r="K23" i="18" l="1"/>
  <c r="K22" i="18"/>
  <c r="E17" i="18"/>
  <c r="F17" i="18" s="1"/>
  <c r="L22" i="18"/>
  <c r="L23" i="18"/>
  <c r="E12" i="18"/>
  <c r="F12" i="18" s="1"/>
  <c r="E7" i="18"/>
  <c r="M8" i="16"/>
  <c r="M9" i="16" s="1"/>
  <c r="G57" i="16"/>
  <c r="G56" i="16"/>
  <c r="I56" i="16" s="1"/>
  <c r="U33" i="1"/>
  <c r="O28" i="1"/>
  <c r="U32" i="1"/>
  <c r="R59" i="1"/>
  <c r="R58" i="1"/>
  <c r="O35" i="1"/>
  <c r="U28" i="1"/>
  <c r="U34" i="1"/>
  <c r="O19" i="1"/>
  <c r="U29" i="1"/>
  <c r="U20" i="1"/>
  <c r="U30" i="1"/>
  <c r="O21" i="1"/>
  <c r="U31" i="1"/>
  <c r="U7" i="1"/>
  <c r="U27" i="1"/>
  <c r="O8" i="1"/>
  <c r="O14" i="1"/>
  <c r="U24" i="1"/>
  <c r="O15" i="1"/>
  <c r="O34" i="1"/>
  <c r="O7" i="1"/>
  <c r="U17" i="1"/>
  <c r="U35" i="1"/>
  <c r="U15" i="1"/>
  <c r="U14" i="1"/>
  <c r="O6" i="1"/>
  <c r="O11" i="1"/>
  <c r="U40" i="16" l="1"/>
  <c r="V40" i="16" s="1"/>
  <c r="U83" i="16"/>
  <c r="V83" i="16" s="1"/>
  <c r="U50" i="16"/>
  <c r="V50" i="16" s="1"/>
  <c r="U76" i="16"/>
  <c r="V76" i="16" s="1"/>
  <c r="U35" i="16"/>
  <c r="V35" i="16" s="1"/>
  <c r="U53" i="16"/>
  <c r="V53" i="16" s="1"/>
  <c r="U78" i="16"/>
  <c r="V78" i="16" s="1"/>
  <c r="U57" i="16"/>
  <c r="V57" i="16" s="1"/>
  <c r="U91" i="16"/>
  <c r="V91" i="16" s="1"/>
  <c r="U49" i="16"/>
  <c r="V49" i="16" s="1"/>
  <c r="U67" i="16"/>
  <c r="V67" i="16" s="1"/>
  <c r="U89" i="16"/>
  <c r="V89" i="16" s="1"/>
  <c r="U79" i="16"/>
  <c r="V79" i="16" s="1"/>
  <c r="U58" i="16"/>
  <c r="V58" i="16" s="1"/>
  <c r="U75" i="16"/>
  <c r="V75" i="16" s="1"/>
  <c r="U55" i="16"/>
  <c r="V55" i="16" s="1"/>
  <c r="U81" i="16"/>
  <c r="V81" i="16" s="1"/>
  <c r="U62" i="16"/>
  <c r="V62" i="16" s="1"/>
  <c r="U71" i="16"/>
  <c r="V71" i="16" s="1"/>
  <c r="U39" i="16"/>
  <c r="V39" i="16" s="1"/>
  <c r="U68" i="16"/>
  <c r="V68" i="16" s="1"/>
  <c r="U74" i="16"/>
  <c r="V74" i="16" s="1"/>
  <c r="U41" i="16"/>
  <c r="V41" i="16" s="1"/>
  <c r="U44" i="16"/>
  <c r="V44" i="16" s="1"/>
  <c r="U37" i="16"/>
  <c r="V37" i="16" s="1"/>
  <c r="U86" i="16"/>
  <c r="V86" i="16" s="1"/>
  <c r="U73" i="16"/>
  <c r="V73" i="16" s="1"/>
  <c r="U34" i="16"/>
  <c r="V34" i="16" s="1"/>
  <c r="U47" i="16"/>
  <c r="V47" i="16" s="1"/>
  <c r="U66" i="16"/>
  <c r="V66" i="16" s="1"/>
  <c r="U63" i="16"/>
  <c r="V63" i="16" s="1"/>
  <c r="R4" i="16" s="1"/>
  <c r="R5" i="16" s="1"/>
  <c r="U88" i="16"/>
  <c r="V88" i="16" s="1"/>
  <c r="U43" i="16"/>
  <c r="V43" i="16" s="1"/>
  <c r="U69" i="16"/>
  <c r="V69" i="16" s="1"/>
  <c r="U45" i="16"/>
  <c r="V45" i="16" s="1"/>
  <c r="U36" i="16"/>
  <c r="V36" i="16" s="1"/>
  <c r="U77" i="16"/>
  <c r="V77" i="16" s="1"/>
  <c r="U59" i="16"/>
  <c r="V59" i="16" s="1"/>
  <c r="U84" i="16"/>
  <c r="V84" i="16" s="1"/>
  <c r="U80" i="16"/>
  <c r="V80" i="16" s="1"/>
  <c r="F23" i="18"/>
  <c r="U42" i="16"/>
  <c r="V42" i="16" s="1"/>
  <c r="U82" i="16"/>
  <c r="V82" i="16" s="1"/>
  <c r="U61" i="16"/>
  <c r="V61" i="16" s="1"/>
  <c r="U85" i="16"/>
  <c r="V85" i="16" s="1"/>
  <c r="U56" i="16"/>
  <c r="V56" i="16" s="1"/>
  <c r="U38" i="16"/>
  <c r="V38" i="16" s="1"/>
  <c r="C22" i="18"/>
  <c r="F7" i="18"/>
  <c r="C23" i="18" s="1"/>
  <c r="C24" i="18" s="1"/>
  <c r="F24" i="18" s="1"/>
  <c r="U70" i="16"/>
  <c r="V70" i="16" s="1"/>
  <c r="U65" i="16"/>
  <c r="V65" i="16" s="1"/>
  <c r="U92" i="16"/>
  <c r="V92" i="16" s="1"/>
  <c r="U51" i="16"/>
  <c r="V51" i="16" s="1"/>
  <c r="U87" i="16"/>
  <c r="V87" i="16" s="1"/>
  <c r="U48" i="16"/>
  <c r="V48" i="16" s="1"/>
  <c r="U72" i="16"/>
  <c r="V72" i="16" s="1"/>
  <c r="U60" i="16"/>
  <c r="V60" i="16" s="1"/>
  <c r="U46" i="16"/>
  <c r="V46" i="16" s="1"/>
  <c r="U90" i="16"/>
  <c r="V90" i="16" s="1"/>
  <c r="U64" i="16"/>
  <c r="V64" i="16" s="1"/>
  <c r="U52" i="16"/>
  <c r="V52" i="16" s="1"/>
  <c r="U93" i="16"/>
  <c r="V93" i="16" s="1"/>
  <c r="U33" i="16"/>
  <c r="V33" i="16" s="1"/>
  <c r="U54" i="16"/>
  <c r="V54" i="16" s="1"/>
  <c r="G58" i="16"/>
  <c r="J56" i="16"/>
  <c r="J57" i="16"/>
  <c r="I57" i="16"/>
  <c r="O23" i="1"/>
  <c r="U23" i="1"/>
  <c r="U22" i="1"/>
  <c r="O16" i="1"/>
  <c r="U21" i="1"/>
  <c r="O33" i="1"/>
  <c r="O31" i="1"/>
  <c r="O22" i="1"/>
  <c r="U19" i="1"/>
  <c r="O32" i="1"/>
  <c r="O27" i="1"/>
  <c r="O29" i="1"/>
  <c r="O20" i="1"/>
  <c r="O30" i="1"/>
  <c r="U16" i="1"/>
  <c r="E58" i="1"/>
  <c r="O26" i="1"/>
  <c r="U26" i="1"/>
  <c r="Q12" i="1"/>
  <c r="U11" i="1" s="1"/>
  <c r="O24" i="1"/>
  <c r="O17" i="1"/>
  <c r="U25" i="1"/>
  <c r="O25" i="1"/>
  <c r="U18" i="1"/>
  <c r="O18" i="1"/>
  <c r="E61" i="1"/>
  <c r="Q9" i="1"/>
  <c r="U8" i="1" s="1"/>
  <c r="Q13" i="1"/>
  <c r="O13" i="1"/>
  <c r="U13" i="1"/>
  <c r="U12" i="1"/>
  <c r="O12" i="1"/>
  <c r="G54" i="16" l="1"/>
  <c r="G55" i="16" s="1"/>
  <c r="I58" i="16"/>
  <c r="K56" i="16" s="1"/>
  <c r="J58" i="16"/>
  <c r="H61" i="1"/>
  <c r="C61" i="1"/>
  <c r="J54" i="16" l="1"/>
  <c r="K57" i="16"/>
  <c r="K58" i="16"/>
  <c r="I54" i="16"/>
  <c r="I55" i="16"/>
  <c r="J55" i="16"/>
  <c r="C3" i="9"/>
  <c r="C2" i="9"/>
  <c r="K60" i="16" l="1"/>
  <c r="D60" i="16"/>
  <c r="D62" i="16"/>
  <c r="J53" i="16"/>
  <c r="G6" i="9"/>
  <c r="F6" i="9"/>
  <c r="E6" i="9"/>
  <c r="D6" i="9"/>
  <c r="C6" i="9"/>
  <c r="I9" i="14"/>
  <c r="I7" i="12"/>
  <c r="B33" i="15"/>
  <c r="B33" i="14"/>
  <c r="B33" i="13"/>
  <c r="I8" i="13"/>
  <c r="B33" i="12"/>
  <c r="B33" i="11"/>
  <c r="G21" i="9"/>
  <c r="F21" i="9"/>
  <c r="E21" i="9"/>
  <c r="D21" i="9"/>
  <c r="C21" i="9"/>
  <c r="G20" i="9"/>
  <c r="F20" i="9"/>
  <c r="E20" i="9"/>
  <c r="D20" i="9"/>
  <c r="C20" i="9"/>
  <c r="F3" i="9"/>
  <c r="K7" i="9"/>
  <c r="K61" i="16" l="1"/>
  <c r="G60" i="16"/>
  <c r="C8" i="11"/>
  <c r="C8" i="15"/>
  <c r="C8" i="14"/>
  <c r="C5" i="11"/>
  <c r="B8" i="11" l="1"/>
  <c r="H8" i="11" s="1"/>
  <c r="I8" i="11" s="1"/>
  <c r="B8" i="15"/>
  <c r="H8" i="15" s="1"/>
  <c r="I8" i="15" s="1"/>
  <c r="B8" i="14"/>
  <c r="H8" i="14" s="1"/>
  <c r="I8" i="14" s="1"/>
  <c r="C9" i="15"/>
  <c r="B9" i="15"/>
  <c r="C9" i="13"/>
  <c r="B9" i="13"/>
  <c r="C9" i="12"/>
  <c r="B9" i="12"/>
  <c r="C9" i="11"/>
  <c r="B9" i="11"/>
  <c r="C8" i="12"/>
  <c r="B8" i="12"/>
  <c r="C7" i="15"/>
  <c r="B7" i="15"/>
  <c r="C7" i="14"/>
  <c r="B7" i="14"/>
  <c r="C7" i="13"/>
  <c r="B7" i="13"/>
  <c r="C7" i="11"/>
  <c r="B7" i="11"/>
  <c r="C6" i="15"/>
  <c r="B6" i="15"/>
  <c r="C6" i="14"/>
  <c r="B6" i="14"/>
  <c r="C6" i="13"/>
  <c r="B6" i="13"/>
  <c r="C6" i="12"/>
  <c r="B6" i="12"/>
  <c r="C5" i="14"/>
  <c r="B5" i="14"/>
  <c r="C5" i="13"/>
  <c r="B5" i="13"/>
  <c r="C5" i="12"/>
  <c r="B5" i="12"/>
  <c r="B5" i="11"/>
  <c r="B11" i="11" l="1"/>
  <c r="B12" i="11"/>
  <c r="H7" i="15"/>
  <c r="I7" i="15" s="1"/>
  <c r="H9" i="15"/>
  <c r="I9" i="15" s="1"/>
  <c r="B11" i="15"/>
  <c r="B15" i="15"/>
  <c r="B12" i="15"/>
  <c r="H6" i="15"/>
  <c r="B22" i="15"/>
  <c r="G7" i="9" s="1"/>
  <c r="H7" i="14"/>
  <c r="I7" i="14" s="1"/>
  <c r="H6" i="14"/>
  <c r="I6" i="14" s="1"/>
  <c r="B12" i="14"/>
  <c r="B15" i="14"/>
  <c r="B11" i="14"/>
  <c r="H5" i="14"/>
  <c r="B22" i="14"/>
  <c r="H6" i="13"/>
  <c r="I6" i="13" s="1"/>
  <c r="H7" i="13"/>
  <c r="I7" i="13" s="1"/>
  <c r="H9" i="13"/>
  <c r="I9" i="13" s="1"/>
  <c r="B15" i="13"/>
  <c r="B11" i="13"/>
  <c r="B12" i="13"/>
  <c r="H5" i="13"/>
  <c r="B22" i="13"/>
  <c r="E7" i="9" s="1"/>
  <c r="H6" i="12"/>
  <c r="I6" i="12" s="1"/>
  <c r="H7" i="11"/>
  <c r="I7" i="11" s="1"/>
  <c r="H8" i="12"/>
  <c r="I8" i="12" s="1"/>
  <c r="H9" i="11"/>
  <c r="I9" i="11" s="1"/>
  <c r="H9" i="12"/>
  <c r="I9" i="12" s="1"/>
  <c r="B12" i="12"/>
  <c r="H5" i="12"/>
  <c r="B22" i="12"/>
  <c r="D7" i="9" s="1"/>
  <c r="B15" i="12"/>
  <c r="B11" i="12"/>
  <c r="H5" i="11"/>
  <c r="B15" i="11"/>
  <c r="B22" i="11"/>
  <c r="C7" i="9" s="1"/>
  <c r="G17" i="9" l="1"/>
  <c r="F7" i="9"/>
  <c r="F17" i="9" s="1"/>
  <c r="I6" i="15"/>
  <c r="B14" i="15" s="1"/>
  <c r="B18" i="15" s="1"/>
  <c r="B23" i="15" s="1"/>
  <c r="G8" i="9" s="1"/>
  <c r="B13" i="15"/>
  <c r="B13" i="11"/>
  <c r="B27" i="15"/>
  <c r="G16" i="9" s="1"/>
  <c r="B13" i="14"/>
  <c r="I5" i="14"/>
  <c r="B14" i="14" s="1"/>
  <c r="B18" i="14" s="1"/>
  <c r="B27" i="14"/>
  <c r="F16" i="9" s="1"/>
  <c r="E17" i="9"/>
  <c r="B13" i="13"/>
  <c r="I5" i="13"/>
  <c r="B14" i="13" s="1"/>
  <c r="B18" i="13" s="1"/>
  <c r="B27" i="13"/>
  <c r="E16" i="9" s="1"/>
  <c r="D17" i="9"/>
  <c r="B27" i="12"/>
  <c r="D16" i="9" s="1"/>
  <c r="I5" i="12"/>
  <c r="B14" i="12" s="1"/>
  <c r="B18" i="12" s="1"/>
  <c r="B13" i="12"/>
  <c r="C17" i="9"/>
  <c r="I5" i="11"/>
  <c r="B14" i="11" s="1"/>
  <c r="B18" i="11" s="1"/>
  <c r="B27" i="11"/>
  <c r="C16" i="9" s="1"/>
  <c r="B16" i="15" l="1"/>
  <c r="B16" i="14"/>
  <c r="B17" i="14" s="1"/>
  <c r="B19" i="14" s="1"/>
  <c r="B20" i="14" s="1"/>
  <c r="B25" i="14" s="1"/>
  <c r="F10" i="9" s="1"/>
  <c r="B23" i="14"/>
  <c r="F8" i="9" s="1"/>
  <c r="B16" i="13"/>
  <c r="B17" i="13" s="1"/>
  <c r="B19" i="13" s="1"/>
  <c r="B24" i="13" s="1"/>
  <c r="E9" i="9" s="1"/>
  <c r="B23" i="13"/>
  <c r="E8" i="9" s="1"/>
  <c r="B23" i="12"/>
  <c r="D8" i="9" s="1"/>
  <c r="B16" i="12"/>
  <c r="B17" i="12" s="1"/>
  <c r="B19" i="12" s="1"/>
  <c r="B23" i="11"/>
  <c r="C8" i="9" s="1"/>
  <c r="B16" i="11"/>
  <c r="B17" i="11" s="1"/>
  <c r="B19" i="11" s="1"/>
  <c r="B20" i="11" s="1"/>
  <c r="B25" i="11" s="1"/>
  <c r="C10" i="9" s="1"/>
  <c r="B17" i="15" l="1"/>
  <c r="B19" i="15" s="1"/>
  <c r="B24" i="14"/>
  <c r="F9" i="9" s="1"/>
  <c r="B29" i="14"/>
  <c r="F11" i="9" s="1"/>
  <c r="B20" i="13"/>
  <c r="B25" i="13" s="1"/>
  <c r="E10" i="9" s="1"/>
  <c r="B29" i="13"/>
  <c r="B29" i="12"/>
  <c r="D11" i="9" s="1"/>
  <c r="B24" i="12"/>
  <c r="D9" i="9" s="1"/>
  <c r="B20" i="12"/>
  <c r="B25" i="12" s="1"/>
  <c r="D10" i="9" s="1"/>
  <c r="B24" i="11"/>
  <c r="C9" i="9" s="1"/>
  <c r="B29" i="11"/>
  <c r="C11" i="9" s="1"/>
  <c r="B32" i="13" l="1"/>
  <c r="E13" i="9" s="1"/>
  <c r="E11" i="9"/>
  <c r="B24" i="15"/>
  <c r="G9" i="9" s="1"/>
  <c r="B20" i="15"/>
  <c r="B25" i="15" s="1"/>
  <c r="G10" i="9" s="1"/>
  <c r="B29" i="15"/>
  <c r="G11" i="9" s="1"/>
  <c r="B32" i="14"/>
  <c r="F13" i="9" s="1"/>
  <c r="B30" i="14"/>
  <c r="B31" i="14" s="1"/>
  <c r="F12" i="9" s="1"/>
  <c r="F28" i="9" s="1"/>
  <c r="F29" i="9" s="1"/>
  <c r="B30" i="13"/>
  <c r="B31" i="13" s="1"/>
  <c r="E12" i="9" s="1"/>
  <c r="B32" i="12"/>
  <c r="D13" i="9" s="1"/>
  <c r="B30" i="12"/>
  <c r="B31" i="12" s="1"/>
  <c r="D12" i="9" s="1"/>
  <c r="B30" i="11"/>
  <c r="B31" i="11" s="1"/>
  <c r="C12" i="9" s="1"/>
  <c r="B32" i="11"/>
  <c r="C13" i="9" s="1"/>
  <c r="B34" i="13" l="1"/>
  <c r="B35" i="13"/>
  <c r="B30" i="15"/>
  <c r="B31" i="15" s="1"/>
  <c r="G12" i="9" s="1"/>
  <c r="G28" i="9" s="1"/>
  <c r="G29" i="9" s="1"/>
  <c r="B32" i="15"/>
  <c r="G13" i="9" s="1"/>
  <c r="B34" i="14"/>
  <c r="B35" i="14"/>
  <c r="E28" i="9"/>
  <c r="E29" i="9" s="1"/>
  <c r="D28" i="9"/>
  <c r="D29" i="9" s="1"/>
  <c r="B34" i="12"/>
  <c r="B35" i="12"/>
  <c r="C28" i="9"/>
  <c r="C29" i="9" s="1"/>
  <c r="B34" i="11"/>
  <c r="B35" i="11"/>
  <c r="B36" i="13" l="1"/>
  <c r="B37" i="13" s="1"/>
  <c r="B40" i="13" s="1"/>
  <c r="E15" i="9" s="1"/>
  <c r="E19" i="9" s="1"/>
  <c r="B35" i="15"/>
  <c r="B34" i="15"/>
  <c r="B36" i="14"/>
  <c r="B37" i="14" s="1"/>
  <c r="B36" i="12"/>
  <c r="B37" i="12" s="1"/>
  <c r="B40" i="12" s="1"/>
  <c r="D15" i="9" s="1"/>
  <c r="B36" i="11"/>
  <c r="B37" i="11" s="1"/>
  <c r="B39" i="13" l="1"/>
  <c r="E14" i="9" s="1"/>
  <c r="E18" i="9" s="1"/>
  <c r="B36" i="15"/>
  <c r="B37" i="15" s="1"/>
  <c r="B39" i="15" s="1"/>
  <c r="G14" i="9" s="1"/>
  <c r="G18" i="9" s="1"/>
  <c r="B39" i="14"/>
  <c r="F14" i="9" s="1"/>
  <c r="F18" i="9" s="1"/>
  <c r="B40" i="14"/>
  <c r="F15" i="9" s="1"/>
  <c r="F19" i="9" s="1"/>
  <c r="B39" i="12"/>
  <c r="D14" i="9" s="1"/>
  <c r="D19" i="9"/>
  <c r="B40" i="11"/>
  <c r="C15" i="9" s="1"/>
  <c r="B39" i="11"/>
  <c r="C14" i="9" s="1"/>
  <c r="B40" i="15" l="1"/>
  <c r="G15" i="9" s="1"/>
  <c r="G19" i="9" s="1"/>
  <c r="D18" i="9"/>
  <c r="C18" i="9"/>
  <c r="C19" i="9"/>
  <c r="R7" i="1" l="1"/>
  <c r="R6" i="1"/>
  <c r="Q59" i="1" l="1"/>
  <c r="U10" i="1"/>
  <c r="O10" i="1"/>
  <c r="U9" i="1"/>
  <c r="F61" i="1"/>
  <c r="O9" i="1"/>
  <c r="E63" i="1" l="1"/>
  <c r="E62" i="1"/>
  <c r="F62" i="1" s="1"/>
  <c r="H58" i="1"/>
  <c r="I58" i="1" s="1"/>
  <c r="D63" i="1"/>
  <c r="H62" i="1"/>
  <c r="F58" i="1"/>
  <c r="J61" i="1" s="1"/>
  <c r="K58" i="1" l="1"/>
  <c r="F63" i="1"/>
  <c r="I61" i="1"/>
  <c r="G62" i="1"/>
  <c r="H63" i="1"/>
  <c r="Q10" i="1"/>
  <c r="G63" i="1" l="1"/>
  <c r="J63" i="1" s="1"/>
  <c r="J62" i="1"/>
  <c r="H59" i="1"/>
  <c r="W78" i="1"/>
  <c r="X78" i="1" s="1"/>
  <c r="W84" i="1"/>
  <c r="X84" i="1" s="1"/>
  <c r="W80" i="1"/>
  <c r="X80" i="1" s="1"/>
  <c r="W65" i="1"/>
  <c r="X65" i="1" s="1"/>
  <c r="W90" i="1"/>
  <c r="X90" i="1" s="1"/>
  <c r="W51" i="1"/>
  <c r="X51" i="1" s="1"/>
  <c r="W49" i="1"/>
  <c r="X49" i="1" s="1"/>
  <c r="W41" i="1"/>
  <c r="X41" i="1" s="1"/>
  <c r="W47" i="1"/>
  <c r="X47" i="1" s="1"/>
  <c r="W46" i="1"/>
  <c r="X46" i="1" s="1"/>
  <c r="W69" i="1"/>
  <c r="X69" i="1" s="1"/>
  <c r="W58" i="1"/>
  <c r="X58" i="1" s="1"/>
  <c r="W38" i="1"/>
  <c r="X38" i="1" s="1"/>
  <c r="W86" i="1"/>
  <c r="X86" i="1" s="1"/>
  <c r="W74" i="1"/>
  <c r="X74" i="1" s="1"/>
  <c r="W73" i="1"/>
  <c r="X73" i="1" s="1"/>
  <c r="W87" i="1"/>
  <c r="X87" i="1" s="1"/>
  <c r="W85" i="1"/>
  <c r="X85" i="1" s="1"/>
  <c r="W82" i="1"/>
  <c r="X82" i="1" s="1"/>
  <c r="W39" i="1"/>
  <c r="X39" i="1" s="1"/>
  <c r="W92" i="1"/>
  <c r="X92" i="1" s="1"/>
  <c r="Q11" i="1"/>
  <c r="W57" i="1"/>
  <c r="X57" i="1" s="1"/>
  <c r="W61" i="1"/>
  <c r="X61" i="1" s="1"/>
  <c r="W81" i="1"/>
  <c r="X81" i="1" s="1"/>
  <c r="W42" i="1"/>
  <c r="X42" i="1" s="1"/>
  <c r="W77" i="1"/>
  <c r="X77" i="1" s="1"/>
  <c r="W88" i="1"/>
  <c r="X88" i="1" s="1"/>
  <c r="W89" i="1"/>
  <c r="X89" i="1" s="1"/>
  <c r="W48" i="1"/>
  <c r="X48" i="1" s="1"/>
  <c r="W40" i="1"/>
  <c r="X40" i="1" s="1"/>
  <c r="W55" i="1"/>
  <c r="X55" i="1" s="1"/>
  <c r="W68" i="1"/>
  <c r="X68" i="1" s="1"/>
  <c r="W36" i="1"/>
  <c r="X36" i="1" s="1"/>
  <c r="W91" i="1"/>
  <c r="X91" i="1" s="1"/>
  <c r="W62" i="1"/>
  <c r="X62" i="1" s="1"/>
  <c r="W44" i="1"/>
  <c r="X44" i="1" s="1"/>
  <c r="W60" i="1"/>
  <c r="X60" i="1" s="1"/>
  <c r="W79" i="1"/>
  <c r="X79" i="1" s="1"/>
  <c r="W35" i="1"/>
  <c r="X35" i="1" s="1"/>
  <c r="W56" i="1"/>
  <c r="X56" i="1" s="1"/>
  <c r="W43" i="1"/>
  <c r="X43" i="1" s="1"/>
  <c r="W83" i="1"/>
  <c r="X83" i="1" s="1"/>
  <c r="W54" i="1"/>
  <c r="X54" i="1" s="1"/>
  <c r="W37" i="1"/>
  <c r="X37" i="1" s="1"/>
  <c r="W76" i="1"/>
  <c r="X76" i="1" s="1"/>
  <c r="W63" i="1"/>
  <c r="X63" i="1" s="1"/>
  <c r="T6" i="1" s="1"/>
  <c r="T7" i="1" s="1"/>
  <c r="W66" i="1"/>
  <c r="X66" i="1" s="1"/>
  <c r="W71" i="1"/>
  <c r="X71" i="1" s="1"/>
  <c r="W64" i="1"/>
  <c r="X64" i="1" s="1"/>
  <c r="W67" i="1"/>
  <c r="X67" i="1" s="1"/>
  <c r="W72" i="1"/>
  <c r="X72" i="1" s="1"/>
  <c r="W45" i="1"/>
  <c r="X45" i="1" s="1"/>
  <c r="W53" i="1"/>
  <c r="X53" i="1" s="1"/>
  <c r="W59" i="1"/>
  <c r="X59" i="1" s="1"/>
  <c r="W70" i="1"/>
  <c r="X70" i="1" s="1"/>
  <c r="W75" i="1"/>
  <c r="X75" i="1" s="1"/>
  <c r="W34" i="1"/>
  <c r="X34" i="1" s="1"/>
  <c r="W50" i="1"/>
  <c r="X50" i="1" s="1"/>
  <c r="W93" i="1"/>
  <c r="X93" i="1" s="1"/>
  <c r="W52" i="1"/>
  <c r="X52" i="1" s="1"/>
  <c r="I62" i="1"/>
  <c r="J59" i="1"/>
  <c r="I63" i="1" l="1"/>
  <c r="H60" i="1"/>
  <c r="I59" i="1"/>
  <c r="G60" i="1"/>
  <c r="D65" i="1"/>
  <c r="J60" i="1" l="1"/>
  <c r="J58" i="1" s="1"/>
  <c r="I60" i="1"/>
  <c r="I64" i="1" s="1"/>
  <c r="Q65" i="1" s="1"/>
  <c r="K61" i="1" l="1"/>
  <c r="N65" i="1"/>
  <c r="K60" i="1"/>
  <c r="D67" i="1"/>
  <c r="N59" i="1" l="1"/>
  <c r="N61" i="1" l="1"/>
</calcChain>
</file>

<file path=xl/sharedStrings.xml><?xml version="1.0" encoding="utf-8"?>
<sst xmlns="http://schemas.openxmlformats.org/spreadsheetml/2006/main" count="721" uniqueCount="312">
  <si>
    <t>Origine</t>
  </si>
  <si>
    <t>niveau</t>
  </si>
  <si>
    <t>SCE</t>
  </si>
  <si>
    <t>ddl</t>
  </si>
  <si>
    <t>CM</t>
  </si>
  <si>
    <t>x</t>
  </si>
  <si>
    <t>SB²</t>
  </si>
  <si>
    <t>CI</t>
  </si>
  <si>
    <t>contrib%</t>
  </si>
  <si>
    <t>Total</t>
  </si>
  <si>
    <t>modèle</t>
  </si>
  <si>
    <t>Tolérance +</t>
  </si>
  <si>
    <t>Tolérance -</t>
  </si>
  <si>
    <t>moyenne</t>
  </si>
  <si>
    <t>Min</t>
  </si>
  <si>
    <t>Max</t>
  </si>
  <si>
    <t>Niveau A</t>
  </si>
  <si>
    <t>Répétition 1</t>
  </si>
  <si>
    <t>Répétition 2</t>
  </si>
  <si>
    <t>Répétition 3</t>
  </si>
  <si>
    <t>Répétition 4</t>
  </si>
  <si>
    <t>Répétition 5</t>
  </si>
  <si>
    <t>nk</t>
  </si>
  <si>
    <t>SCEk</t>
  </si>
  <si>
    <t>Niveau B</t>
  </si>
  <si>
    <t>Niveau C</t>
  </si>
  <si>
    <t>Niveau D</t>
  </si>
  <si>
    <t>Niveau E</t>
  </si>
  <si>
    <t>Profil d'exactitude</t>
  </si>
  <si>
    <t>Probabilité tolérance (bêta)</t>
  </si>
  <si>
    <t>Limite d'acceptabilité</t>
  </si>
  <si>
    <t>Niveaux</t>
  </si>
  <si>
    <t>Recouvrement (justesse)</t>
  </si>
  <si>
    <t>Limite basse tolérance (%)</t>
  </si>
  <si>
    <t>Limite haute tolérance (%)</t>
  </si>
  <si>
    <t>Limite d'acceptabilité basse</t>
  </si>
  <si>
    <t>Limite d'acceptabilité haute</t>
  </si>
  <si>
    <t>Incertitude</t>
  </si>
  <si>
    <t>Ecart-type de l'IT (sIT)</t>
  </si>
  <si>
    <t>Incertitude élargie relative</t>
  </si>
  <si>
    <t>Valeur cible</t>
  </si>
  <si>
    <t>Moyenne niveau</t>
  </si>
  <si>
    <t>Ecart-type de répétabilité (sr)</t>
  </si>
  <si>
    <t>Ecart-type inter-séries (sL)</t>
  </si>
  <si>
    <t>Ecart-type de fidélité (sFI)</t>
  </si>
  <si>
    <t>Rapport des variances (R)</t>
  </si>
  <si>
    <t>Coefficient intermédiaire</t>
  </si>
  <si>
    <t>Nombre de degrés liberté</t>
  </si>
  <si>
    <t>Valeur basse tolérance</t>
  </si>
  <si>
    <t>Valeur haute tolérance</t>
  </si>
  <si>
    <t>Biais (%)</t>
  </si>
  <si>
    <t>R²</t>
  </si>
  <si>
    <t>étape d'identification</t>
  </si>
  <si>
    <t>ANOVA</t>
  </si>
  <si>
    <t>R²ajusté</t>
  </si>
  <si>
    <t>opérateur</t>
  </si>
  <si>
    <t>&lt; expliqué par le modèle (ajusté)</t>
  </si>
  <si>
    <t>&lt;Coeffcient de détermination : ce qui est expliqué par le modèle</t>
  </si>
  <si>
    <t>S² totale</t>
  </si>
  <si>
    <t>S totale</t>
  </si>
  <si>
    <t>version 1</t>
  </si>
  <si>
    <t>X</t>
  </si>
  <si>
    <t>pierre</t>
  </si>
  <si>
    <t>paul</t>
  </si>
  <si>
    <t>Facteur qualitatif</t>
  </si>
  <si>
    <t>marie</t>
  </si>
  <si>
    <t>répéta</t>
  </si>
  <si>
    <t>Y</t>
  </si>
  <si>
    <t>pièce</t>
  </si>
  <si>
    <t>r1</t>
  </si>
  <si>
    <t>r2</t>
  </si>
  <si>
    <t>r3</t>
  </si>
  <si>
    <t>interaction</t>
  </si>
  <si>
    <t>plan d'expériences croisée</t>
  </si>
  <si>
    <t>r4</t>
  </si>
  <si>
    <t>r5</t>
  </si>
  <si>
    <t>r6</t>
  </si>
  <si>
    <t>condition de répétabilité : même méthode,</t>
  </si>
  <si>
    <t>même sujet, laps de temps le plus</t>
  </si>
  <si>
    <t>Morgan GERMA</t>
  </si>
  <si>
    <t>Prérequis</t>
  </si>
  <si>
    <t>Cochran</t>
  </si>
  <si>
    <t>Cobs</t>
  </si>
  <si>
    <t>Les N observations sont obtenues sous</t>
  </si>
  <si>
    <t>C 5%</t>
  </si>
  <si>
    <t>Cobs &lt; C 5% = OK</t>
  </si>
  <si>
    <t>%GRR</t>
  </si>
  <si>
    <t>Les pièces sont tirées au hasard et représentent</t>
  </si>
  <si>
    <t>l'étendu des pièces observables (Cf et NC)</t>
  </si>
  <si>
    <t>ndc</t>
  </si>
  <si>
    <t>pas de variance aberrante</t>
  </si>
  <si>
    <t xml:space="preserve">variance </t>
  </si>
  <si>
    <t>S² GRR</t>
  </si>
  <si>
    <t>S² Total</t>
  </si>
  <si>
    <t>GAGE R&amp;R</t>
  </si>
  <si>
    <t>&lt;10%</t>
  </si>
  <si>
    <t>10%-30%</t>
  </si>
  <si>
    <t>&gt;30%</t>
  </si>
  <si>
    <t>Jour (Série) 1</t>
  </si>
  <si>
    <t>Jour (Série) 2</t>
  </si>
  <si>
    <t>Jour (Série) 3</t>
  </si>
  <si>
    <t>Jour (Série) 4</t>
  </si>
  <si>
    <t>Jour (Série) 5</t>
  </si>
  <si>
    <t>Nombre de séries (K)</t>
  </si>
  <si>
    <t>Nombre de mesures (IK)</t>
  </si>
  <si>
    <t>Nombre de répétitions (I)</t>
  </si>
  <si>
    <t>SCE résiduelle</t>
  </si>
  <si>
    <t>SCE totale</t>
  </si>
  <si>
    <t>SCE inter-séries</t>
  </si>
  <si>
    <t>Valeur intermédiaire de s²L</t>
  </si>
  <si>
    <t>Variance de répétabilité (s²r)</t>
  </si>
  <si>
    <t>Variance inter-séries (s²L)</t>
  </si>
  <si>
    <t>Variance de fidélité (s²FI)</t>
  </si>
  <si>
    <t>Fidélité</t>
  </si>
  <si>
    <t>Justesse</t>
  </si>
  <si>
    <t>Facteur de couverture</t>
  </si>
  <si>
    <t>Coefficient B²</t>
  </si>
  <si>
    <t>t Student bas</t>
  </si>
  <si>
    <t>t Student haut</t>
  </si>
  <si>
    <t>t Student interpolé</t>
  </si>
  <si>
    <t>Facteur de couverture (ktol)</t>
  </si>
  <si>
    <t>Intervalle de tolérance</t>
  </si>
  <si>
    <t>Cpc</t>
  </si>
  <si>
    <t>*GRR%</t>
  </si>
  <si>
    <t>*basé sur les Tolérances</t>
  </si>
  <si>
    <t>&gt; 4</t>
  </si>
  <si>
    <t>&lt; 25%</t>
  </si>
  <si>
    <t>court possible,</t>
  </si>
  <si>
    <r>
      <t xml:space="preserve">idéalement </t>
    </r>
    <r>
      <rPr>
        <u/>
        <sz val="11"/>
        <rFont val="Calibri"/>
        <family val="2"/>
        <scheme val="minor"/>
      </rPr>
      <t>&gt;</t>
    </r>
    <r>
      <rPr>
        <sz val="11"/>
        <rFont val="Calibri"/>
        <family val="2"/>
        <scheme val="minor"/>
      </rPr>
      <t xml:space="preserve"> 5</t>
    </r>
  </si>
  <si>
    <t>plan d'expériences emboité</t>
  </si>
  <si>
    <t>lot</t>
  </si>
  <si>
    <t>Z</t>
  </si>
  <si>
    <t>lot 1</t>
  </si>
  <si>
    <t>Pierre</t>
  </si>
  <si>
    <t>pièce 1</t>
  </si>
  <si>
    <t>pièce 2</t>
  </si>
  <si>
    <t>pièce 3</t>
  </si>
  <si>
    <t>Lorsque le plan est emboité, on évalue</t>
  </si>
  <si>
    <t>Paul</t>
  </si>
  <si>
    <t>pièce 4</t>
  </si>
  <si>
    <t>les variances intermédiaires de fidélité.</t>
  </si>
  <si>
    <t>pièce 5</t>
  </si>
  <si>
    <t>pièce 6</t>
  </si>
  <si>
    <t>les facteurs opérateur et lot sont croisés</t>
  </si>
  <si>
    <t>Marie</t>
  </si>
  <si>
    <t>pièce 7</t>
  </si>
  <si>
    <t>le facteur pièce est lui emboité dans Op/lot</t>
  </si>
  <si>
    <t>pièce 8</t>
  </si>
  <si>
    <t>pièce 9</t>
  </si>
  <si>
    <t>lot 2</t>
  </si>
  <si>
    <t>pièce 10</t>
  </si>
  <si>
    <t>pièce 11</t>
  </si>
  <si>
    <t>pièce 12</t>
  </si>
  <si>
    <t>pièce 13</t>
  </si>
  <si>
    <t>pièce 14</t>
  </si>
  <si>
    <t>pièce 15</t>
  </si>
  <si>
    <t>pièce 16</t>
  </si>
  <si>
    <t>pièce 17</t>
  </si>
  <si>
    <t>pièce 18</t>
  </si>
  <si>
    <t>lot 3</t>
  </si>
  <si>
    <t>pièce 19</t>
  </si>
  <si>
    <t>pièce 20</t>
  </si>
  <si>
    <t>pièce 21</t>
  </si>
  <si>
    <t>pièce 22</t>
  </si>
  <si>
    <t>pièce 23</t>
  </si>
  <si>
    <t>pièce 24</t>
  </si>
  <si>
    <t>pièce 25</t>
  </si>
  <si>
    <t>pièce 26</t>
  </si>
  <si>
    <t>pièce 27</t>
  </si>
  <si>
    <t>variance</t>
  </si>
  <si>
    <t>résiduel</t>
  </si>
  <si>
    <t>Piece(lot*op)</t>
  </si>
  <si>
    <t>version 1.0</t>
  </si>
  <si>
    <r>
      <rPr>
        <sz val="11"/>
        <color theme="0"/>
        <rFont val="Aptos Narrow"/>
        <family val="2"/>
      </rPr>
      <t>σ</t>
    </r>
    <r>
      <rPr>
        <sz val="9.35"/>
        <color theme="0"/>
        <rFont val="Calibri"/>
        <family val="2"/>
      </rPr>
      <t>²PV</t>
    </r>
    <r>
      <rPr>
        <sz val="11"/>
        <color theme="0"/>
        <rFont val="Calibri"/>
        <family val="2"/>
      </rPr>
      <t xml:space="preserve"> = pièce/lot</t>
    </r>
  </si>
  <si>
    <r>
      <rPr>
        <sz val="11"/>
        <color theme="0"/>
        <rFont val="Aptos Narrow"/>
        <family val="2"/>
      </rPr>
      <t>σ</t>
    </r>
    <r>
      <rPr>
        <sz val="9.35"/>
        <color theme="0"/>
        <rFont val="Calibri"/>
        <family val="2"/>
      </rPr>
      <t>²AV</t>
    </r>
    <r>
      <rPr>
        <sz val="11"/>
        <color theme="0"/>
        <rFont val="Calibri"/>
        <family val="2"/>
      </rPr>
      <t xml:space="preserve"> = repro</t>
    </r>
  </si>
  <si>
    <r>
      <rPr>
        <sz val="11"/>
        <color theme="0"/>
        <rFont val="Aptos Narrow"/>
        <family val="2"/>
      </rPr>
      <t>σ</t>
    </r>
    <r>
      <rPr>
        <sz val="9.35"/>
        <color theme="0"/>
        <rFont val="Calibri"/>
        <family val="2"/>
      </rPr>
      <t>²EV</t>
    </r>
    <r>
      <rPr>
        <sz val="11"/>
        <color theme="0"/>
        <rFont val="Calibri"/>
        <family val="2"/>
      </rPr>
      <t xml:space="preserve"> = répéta</t>
    </r>
  </si>
  <si>
    <t>&lt; 25</t>
  </si>
  <si>
    <t>Cp méthode</t>
  </si>
  <si>
    <t>&gt; 1,33</t>
  </si>
  <si>
    <t>Analyse de variance à 1 facteur</t>
  </si>
  <si>
    <t>il faut N&gt;= 15 sinon il faut utiliser des tables spéciales</t>
  </si>
  <si>
    <t>Kruskal et Wallis</t>
  </si>
  <si>
    <t>obs</t>
  </si>
  <si>
    <t>Rang</t>
  </si>
  <si>
    <t>somme</t>
  </si>
  <si>
    <t>somme²/n</t>
  </si>
  <si>
    <t>rang</t>
  </si>
  <si>
    <t>répét</t>
  </si>
  <si>
    <t>double</t>
  </si>
  <si>
    <t>triple</t>
  </si>
  <si>
    <t>bilan</t>
  </si>
  <si>
    <t>A</t>
  </si>
  <si>
    <t>B</t>
  </si>
  <si>
    <t>C</t>
  </si>
  <si>
    <t>vérification</t>
  </si>
  <si>
    <t>X² brut</t>
  </si>
  <si>
    <t>facteur correctif</t>
  </si>
  <si>
    <t>y</t>
  </si>
  <si>
    <t>X² corrigé</t>
  </si>
  <si>
    <t>X² 5%,ddl</t>
  </si>
  <si>
    <t>x=2 si doublon et 3 si triplon</t>
  </si>
  <si>
    <t>*Si différence, il existe au moins 2 différences parmis les</t>
  </si>
  <si>
    <t>y=nombre de doublon/triplon</t>
  </si>
  <si>
    <t>n facteur</t>
  </si>
  <si>
    <t>ATTENTION: il faut le même nombre de niveau par facteur</t>
  </si>
  <si>
    <t>Facteurs testés</t>
  </si>
  <si>
    <t>répétitions (2 obligatoires)</t>
  </si>
  <si>
    <t>total</t>
  </si>
  <si>
    <t>Identification</t>
  </si>
  <si>
    <t>ANOVA emboitée</t>
  </si>
  <si>
    <t>jour 1</t>
  </si>
  <si>
    <t>labo 1</t>
  </si>
  <si>
    <t>op 1</t>
  </si>
  <si>
    <t>Ci</t>
  </si>
  <si>
    <t>Fobs</t>
  </si>
  <si>
    <t>F5%</t>
  </si>
  <si>
    <t>contribution</t>
  </si>
  <si>
    <t>op 2</t>
  </si>
  <si>
    <t>op 3</t>
  </si>
  <si>
    <t>labo 2</t>
  </si>
  <si>
    <t>B/A</t>
  </si>
  <si>
    <t>labo 3</t>
  </si>
  <si>
    <t>C/B/A</t>
  </si>
  <si>
    <t>categorie</t>
  </si>
  <si>
    <t>jour 2</t>
  </si>
  <si>
    <t>&gt; 5</t>
  </si>
  <si>
    <t>R²a</t>
  </si>
  <si>
    <t>jour 3</t>
  </si>
  <si>
    <t>SCE res</t>
  </si>
  <si>
    <t>Friedmann</t>
  </si>
  <si>
    <t>Facteur 2 = méthode</t>
  </si>
  <si>
    <t>rang corrigé*</t>
  </si>
  <si>
    <t>total*</t>
  </si>
  <si>
    <t>Quand la colonne total affiche autre chose que OK</t>
  </si>
  <si>
    <t>Facteur 1 = lot</t>
  </si>
  <si>
    <t>ajouter, dans les colonnes rang corrigé, manuellement 0,5 aux doublons</t>
  </si>
  <si>
    <t>répétition</t>
  </si>
  <si>
    <t>rang corrigé</t>
  </si>
  <si>
    <t>colonne q</t>
  </si>
  <si>
    <t>ligne p</t>
  </si>
  <si>
    <t>Etude du facteur 2</t>
  </si>
  <si>
    <t>Etude du facteur 1</t>
  </si>
  <si>
    <t>X²obs</t>
  </si>
  <si>
    <t>correction</t>
  </si>
  <si>
    <t>nb doublon</t>
  </si>
  <si>
    <t>nb triplon</t>
  </si>
  <si>
    <t>X²(5%,ddl)</t>
  </si>
  <si>
    <t>nb quadruplon</t>
  </si>
  <si>
    <t>Bilan</t>
  </si>
  <si>
    <t>*Si différence, il existe au moins 2 différences parmi les p facteurs 2</t>
  </si>
  <si>
    <t>*Si différence, il existe au moins 2 différences parmi les q facteurs 1</t>
  </si>
  <si>
    <t>1 au triplon, etc</t>
  </si>
  <si>
    <t>Test d'indépendance</t>
  </si>
  <si>
    <t>y a-t-il une différence entre au moins 2 classes ?</t>
  </si>
  <si>
    <t>critère qualitatif commun</t>
  </si>
  <si>
    <t>Salaire</t>
  </si>
  <si>
    <t>1000-2000</t>
  </si>
  <si>
    <t>2000-3000</t>
  </si>
  <si>
    <t>3000-4000</t>
  </si>
  <si>
    <t>4000-5000</t>
  </si>
  <si>
    <t>classe</t>
  </si>
  <si>
    <t>Homme</t>
  </si>
  <si>
    <t>Femme</t>
  </si>
  <si>
    <t>X² 5%</t>
  </si>
  <si>
    <t>H0: pas de différence</t>
  </si>
  <si>
    <t>X² observé</t>
  </si>
  <si>
    <t>Si X² &lt; X²5%, égalité des classes</t>
  </si>
  <si>
    <t>valeur attendue</t>
  </si>
  <si>
    <t>xi² observé</t>
  </si>
  <si>
    <t>calcul : (valeur observée - valeur attendue)²/valeur attendue</t>
  </si>
  <si>
    <t>Test d'ajustement</t>
  </si>
  <si>
    <t>La loi uniforme est elle respectée ? C’est-à-dire y a-t-il autant de panne sur chaque ligne</t>
  </si>
  <si>
    <t>ligne</t>
  </si>
  <si>
    <t>Panne réelle</t>
  </si>
  <si>
    <t>Panne th.</t>
  </si>
  <si>
    <t>Pr-Pth</t>
  </si>
  <si>
    <t>(Pr-Pth)²</t>
  </si>
  <si>
    <t>(Pr-Pth)²/Pth</t>
  </si>
  <si>
    <t>rouge</t>
  </si>
  <si>
    <t>bleue</t>
  </si>
  <si>
    <t>verte</t>
  </si>
  <si>
    <t>jaune</t>
  </si>
  <si>
    <t>Xhi²</t>
  </si>
  <si>
    <t>Xhi² 0,05%</t>
  </si>
  <si>
    <t>réponse: pas de différence</t>
  </si>
  <si>
    <t>Si xhi² &lt; xhi²tabulé, pas de différence</t>
  </si>
  <si>
    <t>n</t>
  </si>
  <si>
    <t>jack</t>
  </si>
  <si>
    <t>sophie</t>
  </si>
  <si>
    <t>Cible</t>
  </si>
  <si>
    <t>les n obserations sont réalisées sous condition de</t>
  </si>
  <si>
    <t>répétabilité : même méthode, même sujet, même</t>
  </si>
  <si>
    <t>équipement, temps d'étude le plus court possible</t>
  </si>
  <si>
    <t>Chaque opérateur à le même nombre de résultat</t>
  </si>
  <si>
    <t>Plan complet équilibré</t>
  </si>
  <si>
    <t>Cpk</t>
  </si>
  <si>
    <r>
      <t xml:space="preserve">équiv </t>
    </r>
    <r>
      <rPr>
        <sz val="11"/>
        <rFont val="Calibri"/>
        <family val="2"/>
      </rPr>
      <t>β</t>
    </r>
  </si>
  <si>
    <r>
      <t>diff 1-</t>
    </r>
    <r>
      <rPr>
        <sz val="11"/>
        <rFont val="Calibri"/>
        <family val="2"/>
      </rPr>
      <t>β</t>
    </r>
  </si>
  <si>
    <t>C 1%</t>
  </si>
  <si>
    <t>Cobs &lt; C 1% = OK</t>
  </si>
  <si>
    <t>Sinon variance aberrante</t>
  </si>
  <si>
    <t>Fobs &lt; F5% = équivalence</t>
  </si>
  <si>
    <t>&lt;CoeffIcient de détermination : ce qui est expliqué par le modèle</t>
  </si>
  <si>
    <t>IC 95% +</t>
  </si>
  <si>
    <t>CV%r</t>
  </si>
  <si>
    <t>biais</t>
  </si>
  <si>
    <t>CV%Fi</t>
  </si>
  <si>
    <t>IC 95%</t>
  </si>
  <si>
    <t>Catégorie</t>
  </si>
  <si>
    <t>&lt; nombre de catégorie détectable par la méthode</t>
  </si>
  <si>
    <t>Si contient 0, pas de biais significatif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</si>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</sst>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"/>
    <numFmt numFmtId="165" formatCode="0.000"/>
    <numFmt numFmtId="166" formatCode="0.0000"/>
    <numFmt numFmtId="167" formatCode="0.00000"/>
    <numFmt numFmtId="168" formatCode="0.0000000"/>
    <numFmt numFmtId="169" formatCode="0.000000"/>
    <numFmt numFmtId="170" formatCode="0.0%"/>
    <numFmt numFmtId="171" formatCode="0.0E+00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b/>
      <sz val="10"/>
      <name val="Arial"/>
      <family val="2"/>
    </font>
    <font>
      <b/>
      <sz val="9"/>
      <name val="Verdana"/>
      <family val="2"/>
    </font>
    <font>
      <sz val="9"/>
      <name val="Arial"/>
      <family val="2"/>
    </font>
    <font>
      <sz val="8"/>
      <color indexed="20"/>
      <name val="Verdana"/>
      <family val="2"/>
    </font>
    <font>
      <sz val="8"/>
      <name val="Tahoma"/>
      <family val="2"/>
    </font>
    <font>
      <b/>
      <sz val="9"/>
      <name val="Arial"/>
      <family val="2"/>
    </font>
    <font>
      <sz val="9"/>
      <color indexed="12"/>
      <name val="Arial"/>
      <family val="2"/>
    </font>
    <font>
      <sz val="9"/>
      <color theme="0" tint="-0.249977111117893"/>
      <name val="Arial"/>
      <family val="2"/>
    </font>
    <font>
      <sz val="9"/>
      <color indexed="23"/>
      <name val="Arial"/>
      <family val="2"/>
    </font>
    <font>
      <u/>
      <sz val="11"/>
      <name val="Calibri"/>
      <family val="2"/>
      <scheme val="minor"/>
    </font>
    <font>
      <b/>
      <sz val="24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0"/>
      <name val="Calibri"/>
      <family val="2"/>
    </font>
    <font>
      <sz val="11"/>
      <color theme="0"/>
      <name val="Aptos Narrow"/>
      <family val="2"/>
    </font>
    <font>
      <sz val="9.35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0"/>
      <name val="Arial"/>
      <family val="2"/>
    </font>
    <font>
      <sz val="11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5" fillId="6" borderId="0"/>
    <xf numFmtId="0" fontId="7" fillId="7" borderId="0"/>
    <xf numFmtId="0" fontId="7" fillId="0" borderId="0">
      <alignment horizontal="right"/>
      <protection locked="0"/>
    </xf>
    <xf numFmtId="0" fontId="8" fillId="7" borderId="0"/>
    <xf numFmtId="9" fontId="9" fillId="7" borderId="0" applyFont="0" applyBorder="0" applyAlignment="0"/>
    <xf numFmtId="0" fontId="1" fillId="0" borderId="0"/>
  </cellStyleXfs>
  <cellXfs count="329">
    <xf numFmtId="0" fontId="0" fillId="0" borderId="0" xfId="0"/>
    <xf numFmtId="0" fontId="6" fillId="6" borderId="0" xfId="3" applyFont="1"/>
    <xf numFmtId="0" fontId="7" fillId="7" borderId="0" xfId="4"/>
    <xf numFmtId="0" fontId="5" fillId="6" borderId="0" xfId="3"/>
    <xf numFmtId="0" fontId="7" fillId="0" borderId="2" xfId="5" applyBorder="1">
      <alignment horizontal="right"/>
      <protection locked="0"/>
    </xf>
    <xf numFmtId="1" fontId="7" fillId="7" borderId="0" xfId="4" applyNumberFormat="1"/>
    <xf numFmtId="167" fontId="7" fillId="7" borderId="0" xfId="4" applyNumberFormat="1"/>
    <xf numFmtId="0" fontId="8" fillId="7" borderId="0" xfId="6"/>
    <xf numFmtId="168" fontId="7" fillId="7" borderId="0" xfId="4" applyNumberFormat="1"/>
    <xf numFmtId="10" fontId="0" fillId="7" borderId="0" xfId="7" applyNumberFormat="1" applyFont="1"/>
    <xf numFmtId="0" fontId="5" fillId="6" borderId="0" xfId="3" applyFont="1"/>
    <xf numFmtId="165" fontId="7" fillId="0" borderId="2" xfId="5" applyNumberFormat="1" applyBorder="1">
      <alignment horizontal="right"/>
      <protection locked="0"/>
    </xf>
    <xf numFmtId="169" fontId="7" fillId="7" borderId="0" xfId="4" applyNumberFormat="1"/>
    <xf numFmtId="0" fontId="10" fillId="6" borderId="0" xfId="3" applyFont="1"/>
    <xf numFmtId="0" fontId="7" fillId="7" borderId="0" xfId="4" applyFont="1"/>
    <xf numFmtId="9" fontId="7" fillId="0" borderId="2" xfId="5" applyNumberFormat="1" applyFont="1" applyBorder="1">
      <alignment horizontal="right"/>
      <protection locked="0"/>
    </xf>
    <xf numFmtId="10" fontId="0" fillId="0" borderId="2" xfId="5" applyNumberFormat="1" applyFont="1" applyBorder="1">
      <alignment horizontal="right"/>
      <protection locked="0"/>
    </xf>
    <xf numFmtId="0" fontId="7" fillId="7" borderId="1" xfId="4" applyFont="1" applyBorder="1"/>
    <xf numFmtId="0" fontId="11" fillId="7" borderId="0" xfId="4" applyFont="1"/>
    <xf numFmtId="0" fontId="11" fillId="7" borderId="1" xfId="4" applyFont="1" applyBorder="1"/>
    <xf numFmtId="165" fontId="7" fillId="7" borderId="1" xfId="4" applyNumberFormat="1" applyFont="1" applyBorder="1"/>
    <xf numFmtId="0" fontId="12" fillId="7" borderId="0" xfId="4" applyFont="1"/>
    <xf numFmtId="10" fontId="7" fillId="7" borderId="1" xfId="7" applyNumberFormat="1" applyFont="1" applyBorder="1"/>
    <xf numFmtId="10" fontId="11" fillId="7" borderId="1" xfId="7" applyNumberFormat="1" applyFont="1" applyBorder="1"/>
    <xf numFmtId="10" fontId="11" fillId="7" borderId="1" xfId="4" applyNumberFormat="1" applyFont="1" applyBorder="1"/>
    <xf numFmtId="0" fontId="11" fillId="7" borderId="0" xfId="4" applyFont="1" applyBorder="1"/>
    <xf numFmtId="10" fontId="11" fillId="7" borderId="0" xfId="4" applyNumberFormat="1" applyFont="1" applyBorder="1"/>
    <xf numFmtId="166" fontId="7" fillId="7" borderId="0" xfId="4" applyNumberFormat="1" applyFont="1"/>
    <xf numFmtId="10" fontId="7" fillId="7" borderId="0" xfId="7" applyNumberFormat="1" applyFont="1"/>
    <xf numFmtId="0" fontId="13" fillId="7" borderId="0" xfId="4" applyFont="1"/>
    <xf numFmtId="166" fontId="13" fillId="7" borderId="0" xfId="4" applyNumberFormat="1" applyFont="1"/>
    <xf numFmtId="10" fontId="13" fillId="7" borderId="0" xfId="7" applyNumberFormat="1" applyFont="1"/>
    <xf numFmtId="0" fontId="11" fillId="0" borderId="1" xfId="0" applyFont="1" applyBorder="1"/>
    <xf numFmtId="0" fontId="7" fillId="0" borderId="1" xfId="0" applyFont="1" applyBorder="1"/>
    <xf numFmtId="1" fontId="11" fillId="7" borderId="1" xfId="4" applyNumberFormat="1" applyFont="1" applyBorder="1"/>
    <xf numFmtId="166" fontId="7" fillId="0" borderId="1" xfId="5" applyNumberFormat="1" applyBorder="1" applyAlignment="1">
      <alignment horizontal="center"/>
      <protection locked="0"/>
    </xf>
    <xf numFmtId="165" fontId="7" fillId="0" borderId="1" xfId="5" applyNumberFormat="1" applyBorder="1" applyAlignment="1">
      <alignment horizontal="center"/>
      <protection locked="0"/>
    </xf>
    <xf numFmtId="0" fontId="7" fillId="0" borderId="1" xfId="5" applyBorder="1" applyAlignment="1">
      <alignment horizontal="center"/>
      <protection locked="0"/>
    </xf>
    <xf numFmtId="0" fontId="3" fillId="0" borderId="7" xfId="0" applyFont="1" applyBorder="1" applyProtection="1">
      <protection hidden="1"/>
    </xf>
    <xf numFmtId="0" fontId="3" fillId="0" borderId="0" xfId="0" applyFont="1" applyProtection="1">
      <protection hidden="1"/>
    </xf>
    <xf numFmtId="11" fontId="3" fillId="0" borderId="0" xfId="0" applyNumberFormat="1" applyFont="1" applyProtection="1">
      <protection hidden="1"/>
    </xf>
    <xf numFmtId="0" fontId="2" fillId="0" borderId="0" xfId="0" applyFont="1" applyProtection="1">
      <protection hidden="1"/>
    </xf>
    <xf numFmtId="0" fontId="2" fillId="2" borderId="1" xfId="0" applyFont="1" applyFill="1" applyBorder="1" applyAlignment="1" applyProtection="1">
      <alignment horizontal="center"/>
      <protection hidden="1"/>
    </xf>
    <xf numFmtId="0" fontId="2" fillId="0" borderId="0" xfId="0" applyFont="1" applyBorder="1" applyProtection="1">
      <protection hidden="1"/>
    </xf>
    <xf numFmtId="0" fontId="2" fillId="0" borderId="7" xfId="0" applyFont="1" applyBorder="1" applyProtection="1">
      <protection hidden="1"/>
    </xf>
    <xf numFmtId="0" fontId="4" fillId="4" borderId="0" xfId="2" applyFont="1" applyFill="1" applyBorder="1" applyProtection="1">
      <protection hidden="1"/>
    </xf>
    <xf numFmtId="0" fontId="3" fillId="4" borderId="0" xfId="0" applyFont="1" applyFill="1" applyBorder="1" applyProtection="1">
      <protection hidden="1"/>
    </xf>
    <xf numFmtId="0" fontId="3" fillId="0" borderId="0" xfId="0" applyFont="1" applyBorder="1" applyProtection="1">
      <protection hidden="1"/>
    </xf>
    <xf numFmtId="0" fontId="4" fillId="4" borderId="0" xfId="2" applyFont="1" applyFill="1" applyBorder="1" applyAlignment="1" applyProtection="1">
      <alignment horizontal="center"/>
      <protection hidden="1"/>
    </xf>
    <xf numFmtId="2" fontId="4" fillId="4" borderId="0" xfId="2" applyNumberFormat="1" applyFont="1" applyFill="1" applyBorder="1" applyAlignment="1" applyProtection="1">
      <alignment horizontal="center"/>
      <protection hidden="1"/>
    </xf>
    <xf numFmtId="11" fontId="4" fillId="4" borderId="0" xfId="2" applyNumberFormat="1" applyFont="1" applyFill="1" applyBorder="1" applyAlignment="1" applyProtection="1">
      <alignment horizontal="center"/>
      <protection hidden="1"/>
    </xf>
    <xf numFmtId="2" fontId="2" fillId="0" borderId="1" xfId="0" applyNumberFormat="1" applyFont="1" applyBorder="1" applyAlignment="1" applyProtection="1">
      <alignment horizontal="center"/>
      <protection hidden="1"/>
    </xf>
    <xf numFmtId="0" fontId="2" fillId="4" borderId="1" xfId="0" applyFont="1" applyFill="1" applyBorder="1" applyAlignment="1" applyProtection="1">
      <alignment horizontal="center"/>
      <protection hidden="1"/>
    </xf>
    <xf numFmtId="10" fontId="2" fillId="4" borderId="1" xfId="0" applyNumberFormat="1" applyFont="1" applyFill="1" applyBorder="1" applyAlignment="1" applyProtection="1">
      <alignment horizontal="center"/>
      <protection hidden="1"/>
    </xf>
    <xf numFmtId="0" fontId="2" fillId="3" borderId="1" xfId="0" applyFont="1" applyFill="1" applyBorder="1" applyAlignment="1" applyProtection="1">
      <alignment horizontal="center"/>
      <protection hidden="1"/>
    </xf>
    <xf numFmtId="2" fontId="2" fillId="3" borderId="1" xfId="0" applyNumberFormat="1" applyFont="1" applyFill="1" applyBorder="1" applyAlignment="1" applyProtection="1">
      <alignment horizontal="center"/>
      <protection hidden="1"/>
    </xf>
    <xf numFmtId="2" fontId="2" fillId="3" borderId="1" xfId="0" applyNumberFormat="1" applyFont="1" applyFill="1" applyBorder="1" applyAlignment="1" applyProtection="1">
      <alignment horizontal="center" vertical="center"/>
      <protection hidden="1"/>
    </xf>
    <xf numFmtId="9" fontId="2" fillId="3" borderId="1" xfId="0" applyNumberFormat="1" applyFont="1" applyFill="1" applyBorder="1" applyAlignment="1" applyProtection="1">
      <alignment horizontal="center"/>
      <protection hidden="1"/>
    </xf>
    <xf numFmtId="1" fontId="2" fillId="3" borderId="1" xfId="0" applyNumberFormat="1" applyFont="1" applyFill="1" applyBorder="1" applyAlignment="1" applyProtection="1">
      <alignment horizontal="center"/>
      <protection hidden="1"/>
    </xf>
    <xf numFmtId="0" fontId="2" fillId="5" borderId="1" xfId="0" applyFont="1" applyFill="1" applyBorder="1" applyAlignment="1" applyProtection="1">
      <alignment horizontal="center"/>
      <protection hidden="1"/>
    </xf>
    <xf numFmtId="164" fontId="2" fillId="5" borderId="1" xfId="0" applyNumberFormat="1" applyFont="1" applyFill="1" applyBorder="1" applyAlignment="1" applyProtection="1">
      <alignment horizontal="center"/>
      <protection hidden="1"/>
    </xf>
    <xf numFmtId="2" fontId="2" fillId="5" borderId="1" xfId="0" applyNumberFormat="1" applyFont="1" applyFill="1" applyBorder="1" applyAlignment="1" applyProtection="1">
      <alignment horizontal="center"/>
      <protection hidden="1"/>
    </xf>
    <xf numFmtId="9" fontId="2" fillId="5" borderId="1" xfId="0" applyNumberFormat="1" applyFont="1" applyFill="1" applyBorder="1" applyAlignment="1" applyProtection="1">
      <alignment horizontal="center"/>
      <protection hidden="1"/>
    </xf>
    <xf numFmtId="9" fontId="2" fillId="0" borderId="1" xfId="0" applyNumberFormat="1" applyFont="1" applyBorder="1" applyAlignment="1" applyProtection="1">
      <alignment horizontal="center"/>
      <protection hidden="1"/>
    </xf>
    <xf numFmtId="17" fontId="2" fillId="0" borderId="0" xfId="0" applyNumberFormat="1" applyFont="1" applyAlignment="1" applyProtection="1">
      <alignment horizontal="center"/>
      <protection hidden="1"/>
    </xf>
    <xf numFmtId="165" fontId="1" fillId="2" borderId="1" xfId="1" applyNumberFormat="1" applyFont="1" applyFill="1" applyBorder="1" applyAlignment="1" applyProtection="1">
      <alignment horizontal="center"/>
      <protection hidden="1"/>
    </xf>
    <xf numFmtId="0" fontId="2" fillId="0" borderId="0" xfId="0" applyFont="1" applyBorder="1" applyAlignment="1" applyProtection="1">
      <alignment horizontal="center"/>
      <protection hidden="1"/>
    </xf>
    <xf numFmtId="165" fontId="3" fillId="0" borderId="0" xfId="0" applyNumberFormat="1" applyFont="1" applyBorder="1" applyAlignment="1" applyProtection="1">
      <alignment horizontal="left"/>
      <protection hidden="1"/>
    </xf>
    <xf numFmtId="0" fontId="3" fillId="0" borderId="7" xfId="0" applyFont="1" applyBorder="1" applyAlignment="1" applyProtection="1">
      <alignment horizontal="center"/>
      <protection hidden="1"/>
    </xf>
    <xf numFmtId="0" fontId="2" fillId="10" borderId="1" xfId="0" applyFont="1" applyFill="1" applyBorder="1" applyAlignment="1" applyProtection="1">
      <alignment horizontal="center"/>
      <protection hidden="1"/>
    </xf>
    <xf numFmtId="0" fontId="2" fillId="0" borderId="1" xfId="0" applyFont="1" applyFill="1" applyBorder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center"/>
      <protection hidden="1"/>
    </xf>
    <xf numFmtId="1" fontId="2" fillId="9" borderId="1" xfId="1" applyNumberFormat="1" applyFont="1" applyFill="1" applyBorder="1" applyAlignment="1" applyProtection="1">
      <alignment horizontal="center"/>
      <protection hidden="1"/>
    </xf>
    <xf numFmtId="165" fontId="1" fillId="11" borderId="1" xfId="1" applyNumberFormat="1" applyFont="1" applyFill="1" applyBorder="1" applyAlignment="1" applyProtection="1">
      <alignment horizontal="center"/>
      <protection hidden="1"/>
    </xf>
    <xf numFmtId="0" fontId="2" fillId="0" borderId="3" xfId="0" applyFont="1" applyBorder="1" applyProtection="1">
      <protection hidden="1"/>
    </xf>
    <xf numFmtId="0" fontId="2" fillId="0" borderId="4" xfId="0" applyFont="1" applyBorder="1" applyProtection="1">
      <protection hidden="1"/>
    </xf>
    <xf numFmtId="0" fontId="2" fillId="0" borderId="5" xfId="0" applyFont="1" applyBorder="1" applyProtection="1">
      <protection hidden="1"/>
    </xf>
    <xf numFmtId="0" fontId="2" fillId="0" borderId="6" xfId="0" applyFont="1" applyBorder="1" applyProtection="1">
      <protection hidden="1"/>
    </xf>
    <xf numFmtId="0" fontId="2" fillId="0" borderId="12" xfId="0" applyFont="1" applyFill="1" applyBorder="1" applyAlignment="1" applyProtection="1">
      <alignment horizontal="center"/>
      <protection hidden="1"/>
    </xf>
    <xf numFmtId="0" fontId="2" fillId="2" borderId="12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left"/>
      <protection hidden="1"/>
    </xf>
    <xf numFmtId="2" fontId="2" fillId="4" borderId="0" xfId="0" applyNumberFormat="1" applyFont="1" applyFill="1" applyBorder="1" applyAlignment="1" applyProtection="1">
      <alignment horizontal="center"/>
      <protection hidden="1"/>
    </xf>
    <xf numFmtId="0" fontId="2" fillId="0" borderId="8" xfId="0" applyFont="1" applyBorder="1" applyProtection="1">
      <protection hidden="1"/>
    </xf>
    <xf numFmtId="0" fontId="2" fillId="0" borderId="9" xfId="0" applyFont="1" applyBorder="1" applyProtection="1">
      <protection hidden="1"/>
    </xf>
    <xf numFmtId="2" fontId="2" fillId="4" borderId="9" xfId="0" applyNumberFormat="1" applyFont="1" applyFill="1" applyBorder="1" applyAlignment="1" applyProtection="1">
      <alignment horizontal="center"/>
      <protection hidden="1"/>
    </xf>
    <xf numFmtId="0" fontId="2" fillId="0" borderId="10" xfId="0" applyFont="1" applyBorder="1" applyProtection="1">
      <protection hidden="1"/>
    </xf>
    <xf numFmtId="0" fontId="2" fillId="8" borderId="6" xfId="0" applyFont="1" applyFill="1" applyBorder="1" applyProtection="1">
      <protection hidden="1"/>
    </xf>
    <xf numFmtId="0" fontId="2" fillId="8" borderId="0" xfId="0" applyFont="1" applyFill="1" applyBorder="1" applyProtection="1">
      <protection hidden="1"/>
    </xf>
    <xf numFmtId="2" fontId="2" fillId="8" borderId="0" xfId="0" applyNumberFormat="1" applyFont="1" applyFill="1" applyBorder="1" applyAlignment="1" applyProtection="1">
      <alignment horizontal="center"/>
      <protection hidden="1"/>
    </xf>
    <xf numFmtId="0" fontId="2" fillId="8" borderId="7" xfId="0" applyFont="1" applyFill="1" applyBorder="1" applyProtection="1">
      <protection hidden="1"/>
    </xf>
    <xf numFmtId="165" fontId="2" fillId="0" borderId="1" xfId="0" applyNumberFormat="1" applyFont="1" applyBorder="1" applyAlignment="1" applyProtection="1">
      <alignment horizontal="center"/>
      <protection hidden="1"/>
    </xf>
    <xf numFmtId="0" fontId="2" fillId="8" borderId="1" xfId="0" applyFont="1" applyFill="1" applyBorder="1" applyAlignment="1" applyProtection="1">
      <alignment horizontal="center"/>
      <protection hidden="1"/>
    </xf>
    <xf numFmtId="10" fontId="2" fillId="0" borderId="1" xfId="0" applyNumberFormat="1" applyFont="1" applyBorder="1" applyAlignment="1" applyProtection="1">
      <alignment horizontal="center"/>
      <protection hidden="1"/>
    </xf>
    <xf numFmtId="0" fontId="2" fillId="12" borderId="1" xfId="0" applyFont="1" applyFill="1" applyBorder="1" applyAlignment="1" applyProtection="1">
      <alignment horizontal="center"/>
      <protection hidden="1"/>
    </xf>
    <xf numFmtId="0" fontId="2" fillId="13" borderId="1" xfId="0" applyFont="1" applyFill="1" applyBorder="1" applyAlignment="1" applyProtection="1">
      <alignment horizontal="center"/>
      <protection hidden="1"/>
    </xf>
    <xf numFmtId="0" fontId="2" fillId="14" borderId="1" xfId="0" applyFont="1" applyFill="1" applyBorder="1" applyAlignment="1" applyProtection="1">
      <alignment horizontal="center"/>
      <protection hidden="1"/>
    </xf>
    <xf numFmtId="1" fontId="1" fillId="0" borderId="1" xfId="2" applyNumberFormat="1" applyFont="1" applyBorder="1" applyAlignment="1" applyProtection="1">
      <alignment horizontal="center"/>
      <protection hidden="1"/>
    </xf>
    <xf numFmtId="0" fontId="16" fillId="0" borderId="0" xfId="0" applyFont="1" applyProtection="1">
      <protection hidden="1"/>
    </xf>
    <xf numFmtId="170" fontId="2" fillId="0" borderId="1" xfId="0" applyNumberFormat="1" applyFont="1" applyBorder="1" applyAlignment="1" applyProtection="1">
      <alignment horizontal="center"/>
      <protection hidden="1"/>
    </xf>
    <xf numFmtId="0" fontId="2" fillId="8" borderId="1" xfId="0" applyFont="1" applyFill="1" applyBorder="1" applyProtection="1">
      <protection hidden="1"/>
    </xf>
    <xf numFmtId="0" fontId="2" fillId="0" borderId="12" xfId="0" applyFont="1" applyBorder="1" applyAlignment="1" applyProtection="1">
      <alignment horizontal="center"/>
      <protection hidden="1"/>
    </xf>
    <xf numFmtId="0" fontId="2" fillId="10" borderId="1" xfId="0" applyFont="1" applyFill="1" applyBorder="1" applyAlignment="1" applyProtection="1">
      <alignment horizontal="center"/>
      <protection hidden="1"/>
    </xf>
    <xf numFmtId="0" fontId="2" fillId="0" borderId="21" xfId="0" applyFont="1" applyBorder="1" applyProtection="1">
      <protection hidden="1"/>
    </xf>
    <xf numFmtId="165" fontId="2" fillId="0" borderId="0" xfId="0" applyNumberFormat="1" applyFont="1" applyAlignment="1" applyProtection="1">
      <alignment horizontal="left"/>
      <protection hidden="1"/>
    </xf>
    <xf numFmtId="165" fontId="2" fillId="0" borderId="7" xfId="0" applyNumberFormat="1" applyFont="1" applyBorder="1" applyAlignment="1" applyProtection="1">
      <alignment horizontal="left"/>
      <protection hidden="1"/>
    </xf>
    <xf numFmtId="165" fontId="1" fillId="2" borderId="1" xfId="1" applyNumberFormat="1" applyFill="1" applyBorder="1" applyAlignment="1" applyProtection="1">
      <alignment horizontal="center"/>
      <protection hidden="1"/>
    </xf>
    <xf numFmtId="165" fontId="2" fillId="9" borderId="1" xfId="1" applyNumberFormat="1" applyFont="1" applyFill="1" applyBorder="1" applyAlignment="1" applyProtection="1">
      <alignment horizontal="center"/>
      <protection hidden="1"/>
    </xf>
    <xf numFmtId="11" fontId="2" fillId="0" borderId="0" xfId="0" applyNumberFormat="1" applyFont="1" applyProtection="1">
      <protection hidden="1"/>
    </xf>
    <xf numFmtId="165" fontId="2" fillId="0" borderId="0" xfId="0" applyNumberFormat="1" applyFont="1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165" fontId="2" fillId="0" borderId="9" xfId="0" applyNumberFormat="1" applyFont="1" applyBorder="1" applyAlignment="1" applyProtection="1">
      <alignment horizontal="left"/>
      <protection hidden="1"/>
    </xf>
    <xf numFmtId="165" fontId="2" fillId="0" borderId="10" xfId="0" applyNumberFormat="1" applyFont="1" applyBorder="1" applyAlignment="1" applyProtection="1">
      <alignment horizontal="left"/>
      <protection hidden="1"/>
    </xf>
    <xf numFmtId="165" fontId="2" fillId="0" borderId="6" xfId="0" applyNumberFormat="1" applyFont="1" applyBorder="1" applyAlignment="1" applyProtection="1">
      <alignment horizontal="left"/>
      <protection hidden="1"/>
    </xf>
    <xf numFmtId="0" fontId="2" fillId="8" borderId="0" xfId="0" applyFont="1" applyFill="1" applyProtection="1">
      <protection hidden="1"/>
    </xf>
    <xf numFmtId="2" fontId="2" fillId="8" borderId="7" xfId="0" applyNumberFormat="1" applyFont="1" applyFill="1" applyBorder="1" applyAlignment="1" applyProtection="1">
      <alignment horizontal="center"/>
      <protection hidden="1"/>
    </xf>
    <xf numFmtId="0" fontId="2" fillId="4" borderId="0" xfId="0" applyFont="1" applyFill="1" applyProtection="1">
      <protection hidden="1"/>
    </xf>
    <xf numFmtId="0" fontId="4" fillId="4" borderId="0" xfId="2" applyFont="1" applyFill="1" applyAlignment="1" applyProtection="1">
      <alignment horizontal="center"/>
      <protection hidden="1"/>
    </xf>
    <xf numFmtId="2" fontId="4" fillId="4" borderId="0" xfId="2" applyNumberFormat="1" applyFont="1" applyFill="1" applyAlignment="1" applyProtection="1">
      <alignment horizontal="center"/>
      <protection hidden="1"/>
    </xf>
    <xf numFmtId="11" fontId="4" fillId="4" borderId="0" xfId="2" applyNumberFormat="1" applyFont="1" applyFill="1" applyAlignment="1" applyProtection="1">
      <alignment horizontal="center"/>
      <protection hidden="1"/>
    </xf>
    <xf numFmtId="166" fontId="2" fillId="3" borderId="1" xfId="0" applyNumberFormat="1" applyFont="1" applyFill="1" applyBorder="1" applyAlignment="1" applyProtection="1">
      <alignment horizontal="center" vertical="center"/>
      <protection hidden="1"/>
    </xf>
    <xf numFmtId="166" fontId="2" fillId="3" borderId="1" xfId="0" applyNumberFormat="1" applyFont="1" applyFill="1" applyBorder="1" applyAlignment="1" applyProtection="1">
      <alignment horizontal="center"/>
      <protection hidden="1"/>
    </xf>
    <xf numFmtId="170" fontId="2" fillId="3" borderId="1" xfId="0" applyNumberFormat="1" applyFont="1" applyFill="1" applyBorder="1" applyAlignment="1" applyProtection="1">
      <alignment horizontal="center"/>
      <protection hidden="1"/>
    </xf>
    <xf numFmtId="0" fontId="2" fillId="5" borderId="1" xfId="0" applyFont="1" applyFill="1" applyBorder="1" applyAlignment="1" applyProtection="1">
      <alignment horizontal="center" wrapText="1"/>
      <protection hidden="1"/>
    </xf>
    <xf numFmtId="0" fontId="2" fillId="5" borderId="1" xfId="0" applyFont="1" applyFill="1" applyBorder="1" applyAlignment="1" applyProtection="1">
      <alignment horizontal="center" vertical="center"/>
      <protection hidden="1"/>
    </xf>
    <xf numFmtId="164" fontId="2" fillId="5" borderId="1" xfId="0" applyNumberFormat="1" applyFont="1" applyFill="1" applyBorder="1" applyAlignment="1" applyProtection="1">
      <alignment horizontal="center" vertical="center"/>
      <protection hidden="1"/>
    </xf>
    <xf numFmtId="2" fontId="2" fillId="5" borderId="1" xfId="0" applyNumberFormat="1" applyFont="1" applyFill="1" applyBorder="1" applyAlignment="1" applyProtection="1">
      <alignment horizontal="center" vertical="center"/>
      <protection hidden="1"/>
    </xf>
    <xf numFmtId="166" fontId="2" fillId="5" borderId="1" xfId="0" applyNumberFormat="1" applyFont="1" applyFill="1" applyBorder="1" applyAlignment="1" applyProtection="1">
      <alignment horizontal="center" vertical="center"/>
      <protection hidden="1"/>
    </xf>
    <xf numFmtId="170" fontId="2" fillId="5" borderId="1" xfId="0" applyNumberFormat="1" applyFont="1" applyFill="1" applyBorder="1" applyAlignment="1" applyProtection="1">
      <alignment horizontal="center" vertical="center"/>
      <protection hidden="1"/>
    </xf>
    <xf numFmtId="166" fontId="2" fillId="5" borderId="1" xfId="0" applyNumberFormat="1" applyFont="1" applyFill="1" applyBorder="1" applyAlignment="1" applyProtection="1">
      <alignment horizontal="center"/>
      <protection hidden="1"/>
    </xf>
    <xf numFmtId="166" fontId="2" fillId="0" borderId="0" xfId="0" applyNumberFormat="1" applyFont="1" applyProtection="1">
      <protection hidden="1"/>
    </xf>
    <xf numFmtId="10" fontId="2" fillId="0" borderId="16" xfId="0" applyNumberFormat="1" applyFont="1" applyBorder="1" applyAlignment="1" applyProtection="1">
      <alignment horizontal="center"/>
      <protection hidden="1"/>
    </xf>
    <xf numFmtId="0" fontId="2" fillId="0" borderId="22" xfId="0" applyFont="1" applyBorder="1" applyProtection="1">
      <protection hidden="1"/>
    </xf>
    <xf numFmtId="0" fontId="2" fillId="14" borderId="17" xfId="0" applyFont="1" applyFill="1" applyBorder="1" applyAlignment="1" applyProtection="1">
      <alignment horizontal="center"/>
      <protection hidden="1"/>
    </xf>
    <xf numFmtId="17" fontId="2" fillId="0" borderId="0" xfId="0" applyNumberFormat="1" applyFont="1" applyProtection="1">
      <protection hidden="1"/>
    </xf>
    <xf numFmtId="0" fontId="17" fillId="0" borderId="0" xfId="0" applyFont="1" applyProtection="1">
      <protection hidden="1"/>
    </xf>
    <xf numFmtId="0" fontId="2" fillId="0" borderId="1" xfId="0" applyFont="1" applyBorder="1" applyProtection="1">
      <protection hidden="1"/>
    </xf>
    <xf numFmtId="0" fontId="2" fillId="0" borderId="12" xfId="0" applyFont="1" applyBorder="1" applyAlignment="1" applyProtection="1">
      <alignment horizontal="center"/>
      <protection hidden="1"/>
    </xf>
    <xf numFmtId="0" fontId="2" fillId="10" borderId="1" xfId="0" applyFont="1" applyFill="1" applyBorder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center"/>
      <protection hidden="1"/>
    </xf>
    <xf numFmtId="0" fontId="20" fillId="0" borderId="0" xfId="0" applyFont="1"/>
    <xf numFmtId="0" fontId="0" fillId="15" borderId="28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5" borderId="29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0" fillId="0" borderId="32" xfId="0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0" fontId="0" fillId="0" borderId="33" xfId="0" applyBorder="1" applyAlignment="1">
      <alignment horizontal="center"/>
    </xf>
    <xf numFmtId="0" fontId="2" fillId="0" borderId="26" xfId="0" applyFont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0" fillId="16" borderId="28" xfId="0" applyFill="1" applyBorder="1" applyAlignment="1">
      <alignment horizontal="right"/>
    </xf>
    <xf numFmtId="0" fontId="0" fillId="16" borderId="28" xfId="0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29" xfId="0" applyNumberForma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0" fontId="0" fillId="16" borderId="31" xfId="0" applyFill="1" applyBorder="1" applyAlignment="1">
      <alignment horizontal="center"/>
    </xf>
    <xf numFmtId="165" fontId="0" fillId="0" borderId="32" xfId="0" applyNumberFormat="1" applyBorder="1" applyAlignment="1">
      <alignment horizontal="center"/>
    </xf>
    <xf numFmtId="0" fontId="0" fillId="15" borderId="32" xfId="0" applyFill="1" applyBorder="1" applyAlignment="1">
      <alignment horizontal="center"/>
    </xf>
    <xf numFmtId="0" fontId="0" fillId="17" borderId="33" xfId="0" applyFill="1" applyBorder="1" applyAlignment="1">
      <alignment horizontal="center"/>
    </xf>
    <xf numFmtId="0" fontId="0" fillId="0" borderId="0" xfId="0" applyAlignment="1">
      <alignment horizontal="left"/>
    </xf>
    <xf numFmtId="165" fontId="0" fillId="0" borderId="0" xfId="0" applyNumberFormat="1"/>
    <xf numFmtId="0" fontId="1" fillId="0" borderId="0" xfId="8"/>
    <xf numFmtId="0" fontId="21" fillId="0" borderId="3" xfId="2" applyFont="1" applyBorder="1" applyAlignment="1">
      <alignment horizontal="center"/>
    </xf>
    <xf numFmtId="0" fontId="1" fillId="0" borderId="4" xfId="2" applyBorder="1"/>
    <xf numFmtId="0" fontId="21" fillId="0" borderId="4" xfId="2" applyFont="1" applyBorder="1" applyAlignment="1">
      <alignment horizontal="center"/>
    </xf>
    <xf numFmtId="0" fontId="1" fillId="0" borderId="4" xfId="8" applyBorder="1"/>
    <xf numFmtId="0" fontId="1" fillId="0" borderId="5" xfId="8" applyBorder="1"/>
    <xf numFmtId="0" fontId="1" fillId="0" borderId="6" xfId="2" applyBorder="1"/>
    <xf numFmtId="0" fontId="5" fillId="0" borderId="0" xfId="2" applyFont="1"/>
    <xf numFmtId="0" fontId="1" fillId="0" borderId="0" xfId="2"/>
    <xf numFmtId="0" fontId="1" fillId="0" borderId="7" xfId="8" applyBorder="1"/>
    <xf numFmtId="0" fontId="5" fillId="0" borderId="1" xfId="2" applyFont="1" applyBorder="1" applyAlignment="1">
      <alignment horizontal="center"/>
    </xf>
    <xf numFmtId="0" fontId="22" fillId="0" borderId="0" xfId="2" applyFont="1"/>
    <xf numFmtId="0" fontId="5" fillId="15" borderId="1" xfId="2" applyFont="1" applyFill="1" applyBorder="1" applyAlignment="1">
      <alignment horizontal="center" vertical="center"/>
    </xf>
    <xf numFmtId="1" fontId="1" fillId="18" borderId="1" xfId="2" applyNumberFormat="1" applyFill="1" applyBorder="1" applyAlignment="1">
      <alignment horizontal="center"/>
    </xf>
    <xf numFmtId="2" fontId="1" fillId="0" borderId="1" xfId="2" applyNumberFormat="1" applyBorder="1" applyAlignment="1">
      <alignment horizontal="center"/>
    </xf>
    <xf numFmtId="2" fontId="4" fillId="0" borderId="0" xfId="2" applyNumberFormat="1" applyFont="1" applyAlignment="1">
      <alignment horizontal="center"/>
    </xf>
    <xf numFmtId="0" fontId="0" fillId="19" borderId="1" xfId="0" applyFill="1" applyBorder="1" applyAlignment="1">
      <alignment horizontal="center"/>
    </xf>
    <xf numFmtId="0" fontId="1" fillId="19" borderId="1" xfId="8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1" fontId="2" fillId="20" borderId="1" xfId="0" applyNumberFormat="1" applyFont="1" applyFill="1" applyBorder="1" applyAlignment="1">
      <alignment horizontal="center"/>
    </xf>
    <xf numFmtId="2" fontId="0" fillId="20" borderId="1" xfId="0" applyNumberFormat="1" applyFill="1" applyBorder="1" applyAlignment="1">
      <alignment horizontal="center"/>
    </xf>
    <xf numFmtId="2" fontId="0" fillId="20" borderId="1" xfId="0" applyNumberFormat="1" applyFill="1" applyBorder="1" applyAlignment="1">
      <alignment horizontal="center" vertical="center"/>
    </xf>
    <xf numFmtId="9" fontId="0" fillId="20" borderId="1" xfId="0" applyNumberFormat="1" applyFill="1" applyBorder="1" applyAlignment="1">
      <alignment horizontal="center"/>
    </xf>
    <xf numFmtId="2" fontId="2" fillId="20" borderId="1" xfId="0" applyNumberFormat="1" applyFont="1" applyFill="1" applyBorder="1" applyAlignment="1">
      <alignment horizontal="center"/>
    </xf>
    <xf numFmtId="1" fontId="0" fillId="20" borderId="1" xfId="0" applyNumberFormat="1" applyFill="1" applyBorder="1" applyAlignment="1">
      <alignment horizontal="center"/>
    </xf>
    <xf numFmtId="164" fontId="0" fillId="20" borderId="1" xfId="0" applyNumberFormat="1" applyFill="1" applyBorder="1" applyAlignment="1">
      <alignment horizontal="center"/>
    </xf>
    <xf numFmtId="9" fontId="2" fillId="20" borderId="1" xfId="8" applyNumberFormat="1" applyFont="1" applyFill="1" applyBorder="1" applyAlignment="1">
      <alignment horizontal="center"/>
    </xf>
    <xf numFmtId="171" fontId="1" fillId="0" borderId="0" xfId="8" applyNumberFormat="1"/>
    <xf numFmtId="0" fontId="0" fillId="21" borderId="1" xfId="0" applyFill="1" applyBorder="1" applyAlignment="1">
      <alignment horizontal="center"/>
    </xf>
    <xf numFmtId="1" fontId="2" fillId="21" borderId="1" xfId="0" applyNumberFormat="1" applyFont="1" applyFill="1" applyBorder="1" applyAlignment="1">
      <alignment horizontal="center"/>
    </xf>
    <xf numFmtId="2" fontId="0" fillId="21" borderId="1" xfId="0" applyNumberFormat="1" applyFill="1" applyBorder="1" applyAlignment="1">
      <alignment horizontal="center"/>
    </xf>
    <xf numFmtId="9" fontId="2" fillId="21" borderId="1" xfId="8" applyNumberFormat="1" applyFont="1" applyFill="1" applyBorder="1" applyAlignment="1">
      <alignment horizontal="center"/>
    </xf>
    <xf numFmtId="1" fontId="0" fillId="21" borderId="1" xfId="0" applyNumberFormat="1" applyFill="1" applyBorder="1" applyAlignment="1">
      <alignment horizontal="center" vertical="center"/>
    </xf>
    <xf numFmtId="165" fontId="1" fillId="0" borderId="0" xfId="2" applyNumberFormat="1"/>
    <xf numFmtId="0" fontId="2" fillId="19" borderId="1" xfId="0" applyFont="1" applyFill="1" applyBorder="1"/>
    <xf numFmtId="0" fontId="1" fillId="0" borderId="1" xfId="2" applyBorder="1" applyAlignment="1">
      <alignment horizontal="center"/>
    </xf>
    <xf numFmtId="165" fontId="1" fillId="0" borderId="0" xfId="2" applyNumberFormat="1" applyAlignment="1">
      <alignment horizontal="center"/>
    </xf>
    <xf numFmtId="0" fontId="4" fillId="0" borderId="0" xfId="2" applyFont="1"/>
    <xf numFmtId="0" fontId="1" fillId="0" borderId="8" xfId="2" applyBorder="1"/>
    <xf numFmtId="0" fontId="1" fillId="0" borderId="9" xfId="2" applyBorder="1"/>
    <xf numFmtId="0" fontId="1" fillId="0" borderId="9" xfId="8" applyBorder="1"/>
    <xf numFmtId="0" fontId="1" fillId="0" borderId="10" xfId="8" applyBorder="1"/>
    <xf numFmtId="0" fontId="0" fillId="18" borderId="1" xfId="0" applyFill="1" applyBorder="1" applyAlignment="1">
      <alignment horizontal="center"/>
    </xf>
    <xf numFmtId="0" fontId="0" fillId="18" borderId="29" xfId="0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0" fontId="0" fillId="18" borderId="32" xfId="0" applyFill="1" applyBorder="1" applyAlignment="1">
      <alignment horizontal="center"/>
    </xf>
    <xf numFmtId="0" fontId="0" fillId="18" borderId="33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37" xfId="0" applyBorder="1" applyAlignment="1">
      <alignment horizontal="center" vertical="center"/>
    </xf>
    <xf numFmtId="0" fontId="0" fillId="0" borderId="37" xfId="0" applyBorder="1"/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0" fillId="13" borderId="1" xfId="0" applyFill="1" applyBorder="1"/>
    <xf numFmtId="0" fontId="20" fillId="0" borderId="0" xfId="0" applyFont="1" applyAlignment="1">
      <alignment horizontal="left"/>
    </xf>
    <xf numFmtId="2" fontId="20" fillId="13" borderId="1" xfId="0" applyNumberFormat="1" applyFont="1" applyFill="1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left"/>
    </xf>
    <xf numFmtId="2" fontId="0" fillId="0" borderId="0" xfId="0" applyNumberFormat="1" applyAlignment="1">
      <alignment horizontal="center"/>
    </xf>
    <xf numFmtId="2" fontId="0" fillId="0" borderId="0" xfId="0" applyNumberFormat="1"/>
    <xf numFmtId="2" fontId="0" fillId="0" borderId="13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38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0" xfId="0" applyFont="1" applyAlignment="1" applyProtection="1">
      <alignment horizontal="right"/>
      <protection hidden="1"/>
    </xf>
    <xf numFmtId="0" fontId="2" fillId="23" borderId="28" xfId="0" applyFont="1" applyFill="1" applyBorder="1" applyAlignment="1" applyProtection="1">
      <alignment horizontal="center"/>
      <protection hidden="1"/>
    </xf>
    <xf numFmtId="0" fontId="2" fillId="9" borderId="1" xfId="0" applyFont="1" applyFill="1" applyBorder="1" applyAlignment="1" applyProtection="1">
      <alignment horizontal="center"/>
      <protection hidden="1"/>
    </xf>
    <xf numFmtId="0" fontId="2" fillId="20" borderId="1" xfId="0" applyFont="1" applyFill="1" applyBorder="1" applyAlignment="1" applyProtection="1">
      <alignment horizontal="center"/>
      <protection hidden="1"/>
    </xf>
    <xf numFmtId="0" fontId="2" fillId="24" borderId="1" xfId="0" applyFont="1" applyFill="1" applyBorder="1" applyAlignment="1" applyProtection="1">
      <alignment horizontal="center"/>
      <protection hidden="1"/>
    </xf>
    <xf numFmtId="0" fontId="2" fillId="25" borderId="29" xfId="0" applyFont="1" applyFill="1" applyBorder="1" applyAlignment="1" applyProtection="1">
      <alignment horizontal="center"/>
      <protection hidden="1"/>
    </xf>
    <xf numFmtId="165" fontId="2" fillId="2" borderId="28" xfId="0" applyNumberFormat="1" applyFont="1" applyFill="1" applyBorder="1" applyAlignment="1" applyProtection="1">
      <alignment horizontal="center" vertical="center"/>
      <protection hidden="1"/>
    </xf>
    <xf numFmtId="165" fontId="2" fillId="2" borderId="1" xfId="1" applyNumberFormat="1" applyFont="1" applyFill="1" applyBorder="1" applyAlignment="1" applyProtection="1">
      <alignment horizontal="center"/>
      <protection hidden="1"/>
    </xf>
    <xf numFmtId="165" fontId="2" fillId="2" borderId="29" xfId="1" applyNumberFormat="1" applyFont="1" applyFill="1" applyBorder="1" applyAlignment="1" applyProtection="1">
      <alignment horizontal="center"/>
      <protection hidden="1"/>
    </xf>
    <xf numFmtId="2" fontId="2" fillId="4" borderId="0" xfId="0" applyNumberFormat="1" applyFont="1" applyFill="1" applyAlignment="1" applyProtection="1">
      <alignment horizontal="center"/>
      <protection hidden="1"/>
    </xf>
    <xf numFmtId="0" fontId="4" fillId="4" borderId="0" xfId="2" applyFont="1" applyFill="1" applyProtection="1">
      <protection hidden="1"/>
    </xf>
    <xf numFmtId="0" fontId="3" fillId="4" borderId="0" xfId="0" applyFont="1" applyFill="1" applyProtection="1">
      <protection hidden="1"/>
    </xf>
    <xf numFmtId="165" fontId="3" fillId="0" borderId="0" xfId="0" applyNumberFormat="1" applyFont="1" applyProtection="1">
      <protection hidden="1"/>
    </xf>
    <xf numFmtId="2" fontId="3" fillId="4" borderId="0" xfId="0" applyNumberFormat="1" applyFont="1" applyFill="1" applyAlignment="1" applyProtection="1">
      <alignment horizontal="center"/>
      <protection hidden="1"/>
    </xf>
    <xf numFmtId="0" fontId="2" fillId="0" borderId="9" xfId="0" applyFont="1" applyBorder="1" applyAlignment="1" applyProtection="1">
      <alignment horizontal="right"/>
      <protection hidden="1"/>
    </xf>
    <xf numFmtId="165" fontId="2" fillId="4" borderId="31" xfId="0" applyNumberFormat="1" applyFont="1" applyFill="1" applyBorder="1" applyAlignment="1" applyProtection="1">
      <alignment horizontal="center"/>
      <protection hidden="1"/>
    </xf>
    <xf numFmtId="165" fontId="2" fillId="4" borderId="32" xfId="0" applyNumberFormat="1" applyFont="1" applyFill="1" applyBorder="1" applyAlignment="1" applyProtection="1">
      <alignment horizontal="center"/>
      <protection hidden="1"/>
    </xf>
    <xf numFmtId="165" fontId="2" fillId="4" borderId="33" xfId="0" applyNumberFormat="1" applyFont="1" applyFill="1" applyBorder="1" applyAlignment="1" applyProtection="1">
      <alignment horizontal="center"/>
      <protection hidden="1"/>
    </xf>
    <xf numFmtId="2" fontId="2" fillId="8" borderId="0" xfId="0" applyNumberFormat="1" applyFont="1" applyFill="1" applyAlignment="1" applyProtection="1">
      <alignment horizontal="center"/>
      <protection hidden="1"/>
    </xf>
    <xf numFmtId="0" fontId="2" fillId="10" borderId="15" xfId="0" applyFont="1" applyFill="1" applyBorder="1" applyAlignment="1" applyProtection="1">
      <alignment horizontal="center"/>
      <protection hidden="1"/>
    </xf>
    <xf numFmtId="0" fontId="1" fillId="0" borderId="1" xfId="2" applyBorder="1" applyAlignment="1" applyProtection="1">
      <alignment horizontal="center"/>
      <protection hidden="1"/>
    </xf>
    <xf numFmtId="0" fontId="2" fillId="4" borderId="0" xfId="0" applyFont="1" applyFill="1" applyAlignment="1" applyProtection="1">
      <alignment horizontal="center"/>
      <protection hidden="1"/>
    </xf>
    <xf numFmtId="0" fontId="2" fillId="4" borderId="7" xfId="0" applyFont="1" applyFill="1" applyBorder="1" applyAlignment="1" applyProtection="1">
      <alignment horizontal="center"/>
      <protection hidden="1"/>
    </xf>
    <xf numFmtId="0" fontId="2" fillId="4" borderId="9" xfId="0" applyFont="1" applyFill="1" applyBorder="1" applyAlignment="1" applyProtection="1">
      <alignment horizontal="center"/>
      <protection hidden="1"/>
    </xf>
    <xf numFmtId="0" fontId="2" fillId="4" borderId="10" xfId="0" applyFont="1" applyFill="1" applyBorder="1" applyAlignment="1" applyProtection="1">
      <alignment horizontal="center"/>
      <protection hidden="1"/>
    </xf>
    <xf numFmtId="0" fontId="2" fillId="0" borderId="16" xfId="0" applyFont="1" applyBorder="1" applyAlignment="1" applyProtection="1">
      <alignment horizontal="center"/>
      <protection hidden="1"/>
    </xf>
    <xf numFmtId="0" fontId="2" fillId="0" borderId="12" xfId="0" applyFont="1" applyBorder="1" applyAlignment="1" applyProtection="1">
      <alignment horizontal="center"/>
      <protection hidden="1"/>
    </xf>
    <xf numFmtId="0" fontId="2" fillId="0" borderId="17" xfId="0" applyFont="1" applyBorder="1" applyAlignment="1" applyProtection="1">
      <alignment horizontal="center"/>
      <protection hidden="1"/>
    </xf>
    <xf numFmtId="0" fontId="2" fillId="10" borderId="1" xfId="0" applyFont="1" applyFill="1" applyBorder="1" applyAlignment="1" applyProtection="1">
      <alignment horizontal="center"/>
      <protection hidden="1"/>
    </xf>
    <xf numFmtId="0" fontId="4" fillId="4" borderId="0" xfId="2" applyFont="1" applyFill="1" applyBorder="1" applyAlignment="1" applyProtection="1">
      <alignment horizontal="center"/>
      <protection hidden="1"/>
    </xf>
    <xf numFmtId="0" fontId="2" fillId="0" borderId="11" xfId="0" applyFont="1" applyBorder="1" applyAlignment="1" applyProtection="1">
      <alignment horizontal="center"/>
      <protection hidden="1"/>
    </xf>
    <xf numFmtId="0" fontId="2" fillId="0" borderId="1" xfId="0" applyFont="1" applyFill="1" applyBorder="1" applyAlignment="1" applyProtection="1">
      <alignment horizontal="center"/>
      <protection hidden="1"/>
    </xf>
    <xf numFmtId="0" fontId="15" fillId="0" borderId="18" xfId="0" applyFont="1" applyBorder="1" applyAlignment="1" applyProtection="1">
      <alignment horizontal="center" vertical="center"/>
      <protection hidden="1"/>
    </xf>
    <xf numFmtId="0" fontId="15" fillId="0" borderId="19" xfId="0" applyFont="1" applyBorder="1" applyAlignment="1" applyProtection="1">
      <alignment horizontal="center" vertical="center"/>
      <protection hidden="1"/>
    </xf>
    <xf numFmtId="0" fontId="15" fillId="0" borderId="20" xfId="0" applyFont="1" applyBorder="1" applyAlignment="1" applyProtection="1">
      <alignment horizontal="center" vertical="center"/>
      <protection hidden="1"/>
    </xf>
    <xf numFmtId="165" fontId="2" fillId="2" borderId="13" xfId="0" applyNumberFormat="1" applyFont="1" applyFill="1" applyBorder="1" applyAlignment="1" applyProtection="1">
      <alignment horizontal="center" vertical="center"/>
      <protection hidden="1"/>
    </xf>
    <xf numFmtId="165" fontId="2" fillId="2" borderId="14" xfId="0" applyNumberFormat="1" applyFont="1" applyFill="1" applyBorder="1" applyAlignment="1" applyProtection="1">
      <alignment horizontal="center" vertical="center"/>
      <protection hidden="1"/>
    </xf>
    <xf numFmtId="165" fontId="2" fillId="2" borderId="15" xfId="0" applyNumberFormat="1" applyFont="1" applyFill="1" applyBorder="1" applyAlignment="1" applyProtection="1">
      <alignment horizontal="center" vertical="center"/>
      <protection hidden="1"/>
    </xf>
    <xf numFmtId="2" fontId="2" fillId="0" borderId="16" xfId="0" applyNumberFormat="1" applyFont="1" applyBorder="1" applyAlignment="1" applyProtection="1">
      <alignment horizontal="center"/>
      <protection hidden="1"/>
    </xf>
    <xf numFmtId="2" fontId="2" fillId="0" borderId="17" xfId="0" applyNumberFormat="1" applyFont="1" applyBorder="1" applyAlignment="1" applyProtection="1">
      <alignment horizontal="center"/>
      <protection hidden="1"/>
    </xf>
    <xf numFmtId="0" fontId="2" fillId="0" borderId="39" xfId="0" applyFont="1" applyBorder="1" applyAlignment="1" applyProtection="1">
      <alignment horizontal="center"/>
      <protection hidden="1"/>
    </xf>
    <xf numFmtId="0" fontId="2" fillId="0" borderId="21" xfId="0" applyFont="1" applyBorder="1" applyAlignment="1" applyProtection="1">
      <alignment horizontal="center"/>
      <protection hidden="1"/>
    </xf>
    <xf numFmtId="0" fontId="2" fillId="0" borderId="40" xfId="0" applyFont="1" applyBorder="1" applyAlignment="1" applyProtection="1">
      <alignment horizontal="center"/>
      <protection hidden="1"/>
    </xf>
    <xf numFmtId="0" fontId="4" fillId="4" borderId="0" xfId="2" applyFont="1" applyFill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center"/>
      <protection hidden="1"/>
    </xf>
    <xf numFmtId="165" fontId="2" fillId="2" borderId="13" xfId="0" applyNumberFormat="1" applyFont="1" applyFill="1" applyBorder="1" applyAlignment="1" applyProtection="1">
      <alignment horizontal="center" vertical="center" wrapText="1"/>
      <protection hidden="1"/>
    </xf>
    <xf numFmtId="165" fontId="2" fillId="2" borderId="14" xfId="0" applyNumberFormat="1" applyFont="1" applyFill="1" applyBorder="1" applyAlignment="1" applyProtection="1">
      <alignment horizontal="center" vertical="center" wrapText="1"/>
      <protection hidden="1"/>
    </xf>
    <xf numFmtId="165" fontId="2" fillId="2" borderId="15" xfId="0" applyNumberFormat="1" applyFont="1" applyFill="1" applyBorder="1" applyAlignment="1" applyProtection="1">
      <alignment horizontal="center" vertical="center" wrapText="1"/>
      <protection hidden="1"/>
    </xf>
    <xf numFmtId="1" fontId="2" fillId="9" borderId="13" xfId="1" applyNumberFormat="1" applyFont="1" applyFill="1" applyBorder="1" applyAlignment="1" applyProtection="1">
      <alignment horizontal="center" vertical="center"/>
      <protection hidden="1"/>
    </xf>
    <xf numFmtId="1" fontId="2" fillId="9" borderId="14" xfId="1" applyNumberFormat="1" applyFont="1" applyFill="1" applyBorder="1" applyAlignment="1" applyProtection="1">
      <alignment horizontal="center" vertical="center"/>
      <protection hidden="1"/>
    </xf>
    <xf numFmtId="165" fontId="3" fillId="0" borderId="22" xfId="0" applyNumberFormat="1" applyFont="1" applyBorder="1" applyAlignment="1" applyProtection="1">
      <alignment horizontal="center" vertical="center"/>
      <protection hidden="1"/>
    </xf>
    <xf numFmtId="1" fontId="2" fillId="9" borderId="23" xfId="1" applyNumberFormat="1" applyFont="1" applyFill="1" applyBorder="1" applyAlignment="1" applyProtection="1">
      <alignment horizontal="center" vertical="center"/>
      <protection hidden="1"/>
    </xf>
    <xf numFmtId="1" fontId="2" fillId="9" borderId="24" xfId="1" applyNumberFormat="1" applyFont="1" applyFill="1" applyBorder="1" applyAlignment="1" applyProtection="1">
      <alignment horizontal="center" vertical="center"/>
      <protection hidden="1"/>
    </xf>
    <xf numFmtId="1" fontId="2" fillId="9" borderId="1" xfId="1" applyNumberFormat="1" applyFont="1" applyFill="1" applyBorder="1" applyAlignment="1" applyProtection="1">
      <alignment horizontal="center" vertical="center"/>
      <protection hidden="1"/>
    </xf>
    <xf numFmtId="0" fontId="5" fillId="15" borderId="1" xfId="2" applyFont="1" applyFill="1" applyBorder="1" applyAlignment="1">
      <alignment horizontal="center" vertical="center"/>
    </xf>
    <xf numFmtId="0" fontId="21" fillId="0" borderId="0" xfId="2" applyFont="1" applyAlignment="1">
      <alignment horizontal="center"/>
    </xf>
    <xf numFmtId="0" fontId="5" fillId="0" borderId="16" xfId="2" applyFont="1" applyBorder="1" applyAlignment="1">
      <alignment horizontal="center"/>
    </xf>
    <xf numFmtId="0" fontId="5" fillId="0" borderId="12" xfId="2" applyFont="1" applyBorder="1" applyAlignment="1">
      <alignment horizontal="center"/>
    </xf>
    <xf numFmtId="0" fontId="5" fillId="0" borderId="17" xfId="2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7" xfId="0" applyBorder="1" applyAlignment="1">
      <alignment horizontal="center"/>
    </xf>
    <xf numFmtId="0" fontId="20" fillId="0" borderId="25" xfId="0" applyFont="1" applyBorder="1" applyAlignment="1">
      <alignment horizontal="center"/>
    </xf>
    <xf numFmtId="0" fontId="20" fillId="0" borderId="26" xfId="0" applyFont="1" applyBorder="1" applyAlignment="1">
      <alignment horizontal="center"/>
    </xf>
    <xf numFmtId="0" fontId="20" fillId="0" borderId="27" xfId="0" applyFont="1" applyBorder="1" applyAlignment="1">
      <alignment horizontal="center"/>
    </xf>
    <xf numFmtId="0" fontId="0" fillId="16" borderId="3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0" borderId="14" xfId="0" applyBorder="1" applyAlignment="1">
      <alignment horizontal="center" vertical="center" textRotation="90"/>
    </xf>
    <xf numFmtId="0" fontId="0" fillId="0" borderId="15" xfId="0" applyBorder="1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/>
    </xf>
    <xf numFmtId="0" fontId="0" fillId="0" borderId="13" xfId="0" applyBorder="1" applyAlignment="1">
      <alignment horizontal="center" vertical="center" textRotation="90"/>
    </xf>
    <xf numFmtId="0" fontId="0" fillId="0" borderId="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 vertical="center" textRotation="90"/>
    </xf>
    <xf numFmtId="0" fontId="0" fillId="0" borderId="31" xfId="0" applyBorder="1" applyAlignment="1">
      <alignment horizontal="center" vertical="center" textRotation="90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9">
    <cellStyle name="Formule" xfId="6" xr:uid="{00000000-0005-0000-0000-000000000000}"/>
    <cellStyle name="Normal" xfId="0" builtinId="0"/>
    <cellStyle name="Normal 2" xfId="1" xr:uid="{00000000-0005-0000-0000-000003000000}"/>
    <cellStyle name="Normal 2 2" xfId="2" xr:uid="{00000000-0005-0000-0000-000004000000}"/>
    <cellStyle name="Normal 2 3 2" xfId="8" xr:uid="{BA1BFFBA-C538-49A1-A16C-01CA91D841FC}"/>
    <cellStyle name="Normal 3" xfId="4" xr:uid="{00000000-0005-0000-0000-000005000000}"/>
    <cellStyle name="Pourcentage 2" xfId="7" xr:uid="{00000000-0005-0000-0000-000006000000}"/>
    <cellStyle name="Saisie" xfId="5" xr:uid="{00000000-0005-0000-0000-000007000000}"/>
    <cellStyle name="Titre 2" xfId="3" xr:uid="{00000000-0005-0000-0000-000008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10" Type="http://schemas.openxmlformats.org/officeDocument/2006/relationships/chartsheet" Target="chartsheets/sheet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Contribution% des facteurs à la dispersion - indique qui contribue le + à la variance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'BCE - GRR'!$C$60:$C$63</c:f>
              <c:strCache>
                <c:ptCount val="4"/>
                <c:pt idx="0">
                  <c:v>répéta</c:v>
                </c:pt>
                <c:pt idx="1">
                  <c:v>opérateur</c:v>
                </c:pt>
                <c:pt idx="2">
                  <c:v>pièce</c:v>
                </c:pt>
                <c:pt idx="3">
                  <c:v>interaction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'BCE - GRR'!$C$60:$C$63</c:f>
              <c:strCache>
                <c:ptCount val="4"/>
                <c:pt idx="0">
                  <c:v>répéta</c:v>
                </c:pt>
                <c:pt idx="1">
                  <c:v>opérateur</c:v>
                </c:pt>
                <c:pt idx="2">
                  <c:v>pièce</c:v>
                </c:pt>
                <c:pt idx="3">
                  <c:v>interaction</c:v>
                </c:pt>
              </c:strCache>
            </c:strRef>
          </c:cat>
          <c:val>
            <c:numRef>
              <c:f>'BCE - GRR'!$J$60:$J$63</c:f>
              <c:numCache>
                <c:formatCode>0%</c:formatCode>
                <c:ptCount val="4"/>
                <c:pt idx="0">
                  <c:v>0.70676726098653531</c:v>
                </c:pt>
                <c:pt idx="1">
                  <c:v>3.1037066661106887E-3</c:v>
                </c:pt>
                <c:pt idx="2">
                  <c:v>8.4270809149312564E-2</c:v>
                </c:pt>
                <c:pt idx="3">
                  <c:v>0.20585822319804148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7-49CD-B53B-56D73C49F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2260688"/>
        <c:axId val="692250896"/>
      </c:barChart>
      <c:catAx>
        <c:axId val="69226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2250896"/>
        <c:crosses val="autoZero"/>
        <c:auto val="1"/>
        <c:lblAlgn val="ctr"/>
        <c:lblOffset val="100"/>
        <c:noMultiLvlLbl val="0"/>
      </c:catAx>
      <c:valAx>
        <c:axId val="6922508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226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'BCE - GRR'!$W$34:$W$93</c:f>
              <c:numCache>
                <c:formatCode>0.00</c:formatCode>
                <c:ptCount val="60"/>
                <c:pt idx="0">
                  <c:v>29.648990558061971</c:v>
                </c:pt>
                <c:pt idx="1">
                  <c:v>29.67841235427472</c:v>
                </c:pt>
                <c:pt idx="2">
                  <c:v>29.737255946700216</c:v>
                </c:pt>
                <c:pt idx="3">
                  <c:v>29.766677742912968</c:v>
                </c:pt>
                <c:pt idx="4">
                  <c:v>29.796099539125716</c:v>
                </c:pt>
                <c:pt idx="5">
                  <c:v>29.825521335338465</c:v>
                </c:pt>
                <c:pt idx="6">
                  <c:v>29.854943131551213</c:v>
                </c:pt>
                <c:pt idx="7">
                  <c:v>29.884364927763961</c:v>
                </c:pt>
                <c:pt idx="8">
                  <c:v>29.91378672397671</c:v>
                </c:pt>
                <c:pt idx="9">
                  <c:v>29.943208520189458</c:v>
                </c:pt>
                <c:pt idx="10">
                  <c:v>29.972630316402206</c:v>
                </c:pt>
                <c:pt idx="11">
                  <c:v>30.002052112614958</c:v>
                </c:pt>
                <c:pt idx="12">
                  <c:v>30.031473908827707</c:v>
                </c:pt>
                <c:pt idx="13">
                  <c:v>30.060895705040455</c:v>
                </c:pt>
                <c:pt idx="14">
                  <c:v>30.090317501253203</c:v>
                </c:pt>
                <c:pt idx="15">
                  <c:v>30.119739297465951</c:v>
                </c:pt>
                <c:pt idx="16">
                  <c:v>30.1491610936787</c:v>
                </c:pt>
                <c:pt idx="17">
                  <c:v>30.178582889891448</c:v>
                </c:pt>
                <c:pt idx="18">
                  <c:v>30.2080046861042</c:v>
                </c:pt>
                <c:pt idx="19">
                  <c:v>30.237426482316948</c:v>
                </c:pt>
                <c:pt idx="20">
                  <c:v>30.266848278529697</c:v>
                </c:pt>
                <c:pt idx="21">
                  <c:v>30.296270074742445</c:v>
                </c:pt>
                <c:pt idx="22">
                  <c:v>30.325691870955193</c:v>
                </c:pt>
                <c:pt idx="23">
                  <c:v>30.355113667167942</c:v>
                </c:pt>
                <c:pt idx="24">
                  <c:v>30.38453546338069</c:v>
                </c:pt>
                <c:pt idx="25">
                  <c:v>30.413957259593438</c:v>
                </c:pt>
                <c:pt idx="26">
                  <c:v>30.44337905580619</c:v>
                </c:pt>
                <c:pt idx="27">
                  <c:v>30.472800852018938</c:v>
                </c:pt>
                <c:pt idx="28">
                  <c:v>30.502222648231687</c:v>
                </c:pt>
                <c:pt idx="29">
                  <c:v>30.531644444444435</c:v>
                </c:pt>
                <c:pt idx="30">
                  <c:v>30.561066240657183</c:v>
                </c:pt>
                <c:pt idx="31">
                  <c:v>30.590488036869932</c:v>
                </c:pt>
                <c:pt idx="32">
                  <c:v>30.61990983308268</c:v>
                </c:pt>
                <c:pt idx="33">
                  <c:v>30.649331629295432</c:v>
                </c:pt>
                <c:pt idx="34">
                  <c:v>30.67875342550818</c:v>
                </c:pt>
                <c:pt idx="35">
                  <c:v>30.708175221720929</c:v>
                </c:pt>
                <c:pt idx="36">
                  <c:v>30.737597017933677</c:v>
                </c:pt>
                <c:pt idx="37">
                  <c:v>30.767018814146425</c:v>
                </c:pt>
                <c:pt idx="38">
                  <c:v>30.796440610359173</c:v>
                </c:pt>
                <c:pt idx="39">
                  <c:v>30.825862406571922</c:v>
                </c:pt>
                <c:pt idx="40">
                  <c:v>30.85528420278467</c:v>
                </c:pt>
                <c:pt idx="41">
                  <c:v>30.884705998997422</c:v>
                </c:pt>
                <c:pt idx="42">
                  <c:v>30.91412779521017</c:v>
                </c:pt>
                <c:pt idx="43">
                  <c:v>30.943549591422919</c:v>
                </c:pt>
                <c:pt idx="44">
                  <c:v>30.972971387635667</c:v>
                </c:pt>
                <c:pt idx="45">
                  <c:v>31.002393183848415</c:v>
                </c:pt>
                <c:pt idx="46">
                  <c:v>31.031814980061164</c:v>
                </c:pt>
                <c:pt idx="47">
                  <c:v>31.061236776273912</c:v>
                </c:pt>
                <c:pt idx="48">
                  <c:v>31.090658572486664</c:v>
                </c:pt>
                <c:pt idx="49">
                  <c:v>31.120080368699412</c:v>
                </c:pt>
                <c:pt idx="50">
                  <c:v>31.14950216491216</c:v>
                </c:pt>
                <c:pt idx="51">
                  <c:v>31.178923961124909</c:v>
                </c:pt>
                <c:pt idx="52">
                  <c:v>31.208345757337657</c:v>
                </c:pt>
                <c:pt idx="53">
                  <c:v>31.237767553550405</c:v>
                </c:pt>
                <c:pt idx="54">
                  <c:v>31.267189349763157</c:v>
                </c:pt>
                <c:pt idx="55">
                  <c:v>31.296611145975902</c:v>
                </c:pt>
                <c:pt idx="56">
                  <c:v>31.326032942188654</c:v>
                </c:pt>
                <c:pt idx="57">
                  <c:v>31.355454738401406</c:v>
                </c:pt>
                <c:pt idx="58">
                  <c:v>31.384876534614154</c:v>
                </c:pt>
                <c:pt idx="59">
                  <c:v>31.414298330826902</c:v>
                </c:pt>
              </c:numCache>
            </c:numRef>
          </c:xVal>
          <c:yVal>
            <c:numRef>
              <c:f>'BCE - GRR'!$X$34:$X$93</c:f>
              <c:numCache>
                <c:formatCode>0.00E+00</c:formatCode>
                <c:ptCount val="60"/>
                <c:pt idx="0">
                  <c:v>1.5063146994464049E-2</c:v>
                </c:pt>
                <c:pt idx="1">
                  <c:v>2.0231709773030543E-2</c:v>
                </c:pt>
                <c:pt idx="2">
                  <c:v>3.5419097933616119E-2</c:v>
                </c:pt>
                <c:pt idx="3">
                  <c:v>4.6166349380804175E-2</c:v>
                </c:pt>
                <c:pt idx="4">
                  <c:v>5.9575902051736393E-2</c:v>
                </c:pt>
                <c:pt idx="5">
                  <c:v>7.6115442214704829E-2</c:v>
                </c:pt>
                <c:pt idx="6">
                  <c:v>9.6279090293361458E-2</c:v>
                </c:pt>
                <c:pt idx="7">
                  <c:v>0.12057249186866377</c:v>
                </c:pt>
                <c:pt idx="8">
                  <c:v>0.14949323849020599</c:v>
                </c:pt>
                <c:pt idx="9">
                  <c:v>0.18350669728924551</c:v>
                </c:pt>
                <c:pt idx="10">
                  <c:v>0.22301770531006473</c:v>
                </c:pt>
                <c:pt idx="11">
                  <c:v>0.26833901550403927</c:v>
                </c:pt>
                <c:pt idx="12">
                  <c:v>0.31965783698867073</c:v>
                </c:pt>
                <c:pt idx="13">
                  <c:v>0.37700225328660458</c:v>
                </c:pt>
                <c:pt idx="14">
                  <c:v>0.44020968240467356</c:v>
                </c:pt>
                <c:pt idx="15">
                  <c:v>0.50889981207491997</c:v>
                </c:pt>
                <c:pt idx="16">
                  <c:v>0.5824545544692159</c:v>
                </c:pt>
                <c:pt idx="17">
                  <c:v>0.66000747737851861</c:v>
                </c:pt>
                <c:pt idx="18">
                  <c:v>0.7404448574698308</c:v>
                </c:pt>
                <c:pt idx="19">
                  <c:v>0.82241995957505731</c:v>
                </c:pt>
                <c:pt idx="20">
                  <c:v>0.90438139117916161</c:v>
                </c:pt>
                <c:pt idx="21">
                  <c:v>0.98461545538119255</c:v>
                </c:pt>
                <c:pt idx="22">
                  <c:v>1.06130139407144</c:v>
                </c:pt>
                <c:pt idx="23">
                  <c:v>1.1325773602748606</c:v>
                </c:pt>
                <c:pt idx="24">
                  <c:v>1.1966139803923492</c:v>
                </c:pt>
                <c:pt idx="25">
                  <c:v>1.2516915610466601</c:v>
                </c:pt>
                <c:pt idx="26">
                  <c:v>1.296276449958093</c:v>
                </c:pt>
                <c:pt idx="27">
                  <c:v>1.3290918445217597</c:v>
                </c:pt>
                <c:pt idx="28">
                  <c:v>1.3491784954482415</c:v>
                </c:pt>
                <c:pt idx="29">
                  <c:v>1.3559412807997311</c:v>
                </c:pt>
                <c:pt idx="30">
                  <c:v>1.3491784954482415</c:v>
                </c:pt>
                <c:pt idx="31">
                  <c:v>1.3290918445217597</c:v>
                </c:pt>
                <c:pt idx="32">
                  <c:v>1.296276449958093</c:v>
                </c:pt>
                <c:pt idx="33">
                  <c:v>1.2516915610466601</c:v>
                </c:pt>
                <c:pt idx="34">
                  <c:v>1.1966139803923492</c:v>
                </c:pt>
                <c:pt idx="35">
                  <c:v>1.1325773602748606</c:v>
                </c:pt>
                <c:pt idx="36">
                  <c:v>1.06130139407144</c:v>
                </c:pt>
                <c:pt idx="37">
                  <c:v>0.98461545538119255</c:v>
                </c:pt>
                <c:pt idx="38">
                  <c:v>0.90438139117916161</c:v>
                </c:pt>
                <c:pt idx="39">
                  <c:v>0.82241995957505731</c:v>
                </c:pt>
                <c:pt idx="40">
                  <c:v>0.7404448574698308</c:v>
                </c:pt>
                <c:pt idx="41">
                  <c:v>0.66000747737851861</c:v>
                </c:pt>
                <c:pt idx="42">
                  <c:v>0.5824545544692159</c:v>
                </c:pt>
                <c:pt idx="43">
                  <c:v>0.50889981207491997</c:v>
                </c:pt>
                <c:pt idx="44">
                  <c:v>0.44020968240467356</c:v>
                </c:pt>
                <c:pt idx="45">
                  <c:v>0.37700225328660458</c:v>
                </c:pt>
                <c:pt idx="46">
                  <c:v>0.31965783698867073</c:v>
                </c:pt>
                <c:pt idx="47">
                  <c:v>0.26833901550403927</c:v>
                </c:pt>
                <c:pt idx="48">
                  <c:v>0.22301770531006473</c:v>
                </c:pt>
                <c:pt idx="49">
                  <c:v>0.18350669728924551</c:v>
                </c:pt>
                <c:pt idx="50">
                  <c:v>0.14949323849020599</c:v>
                </c:pt>
                <c:pt idx="51">
                  <c:v>0.12057249186866377</c:v>
                </c:pt>
                <c:pt idx="52">
                  <c:v>9.6279090293361458E-2</c:v>
                </c:pt>
                <c:pt idx="53">
                  <c:v>7.6115442214704829E-2</c:v>
                </c:pt>
                <c:pt idx="54">
                  <c:v>5.957590205173463E-2</c:v>
                </c:pt>
                <c:pt idx="55">
                  <c:v>4.6166349380804175E-2</c:v>
                </c:pt>
                <c:pt idx="56">
                  <c:v>3.5419097933616119E-2</c:v>
                </c:pt>
                <c:pt idx="57">
                  <c:v>2.6903359420149101E-2</c:v>
                </c:pt>
                <c:pt idx="58">
                  <c:v>2.0231709773029825E-2</c:v>
                </c:pt>
                <c:pt idx="59">
                  <c:v>1.5063146994463487E-2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4D-4828-8BF1-B65168AF1987}"/>
            </c:ext>
          </c:extLst>
        </c:ser>
        <c:ser>
          <c:idx val="1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54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D74D-4828-8BF1-B65168AF1987}"/>
              </c:ext>
            </c:extLst>
          </c:dPt>
          <c:xVal>
            <c:numRef>
              <c:f>'BCE - GRR'!$Q$6:$R$6</c:f>
              <c:numCache>
                <c:formatCode>General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xVal>
          <c:yVal>
            <c:numRef>
              <c:f>'BCE - GRR'!$S$6:$T$6</c:f>
              <c:numCache>
                <c:formatCode>0.00E+00</c:formatCode>
                <c:ptCount val="2"/>
                <c:pt idx="0" formatCode="General">
                  <c:v>0</c:v>
                </c:pt>
                <c:pt idx="1">
                  <c:v>1.3559412807997311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4D-4828-8BF1-B65168AF1987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74D-4828-8BF1-B65168AF1987}"/>
              </c:ext>
            </c:extLst>
          </c:dPt>
          <c:xVal>
            <c:numRef>
              <c:f>'BCE - GRR'!$Q$7:$R$7</c:f>
              <c:numCache>
                <c:formatCode>General</c:formatCode>
                <c:ptCount val="2"/>
                <c:pt idx="0">
                  <c:v>35</c:v>
                </c:pt>
                <c:pt idx="1">
                  <c:v>35</c:v>
                </c:pt>
              </c:numCache>
            </c:numRef>
          </c:xVal>
          <c:yVal>
            <c:numRef>
              <c:f>'BCE - GRR'!$S$7:$T$7</c:f>
              <c:numCache>
                <c:formatCode>0.00E+00</c:formatCode>
                <c:ptCount val="2"/>
                <c:pt idx="0" formatCode="General">
                  <c:v>0</c:v>
                </c:pt>
                <c:pt idx="1">
                  <c:v>1.3559412807997311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74D-4828-8BF1-B65168AF1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255792"/>
        <c:axId val="692247632"/>
      </c:scatterChart>
      <c:valAx>
        <c:axId val="692255792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2247632"/>
        <c:crosses val="autoZero"/>
        <c:crossBetween val="midCat"/>
      </c:valAx>
      <c:valAx>
        <c:axId val="692247632"/>
        <c:scaling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225579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Contribution% des facteurs à la dispersion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'1F5N'!$C$38:$C$39</c:f>
              <c:strCache>
                <c:ptCount val="2"/>
                <c:pt idx="0">
                  <c:v>répéta</c:v>
                </c:pt>
                <c:pt idx="1">
                  <c:v>opérateur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'1F5N'!$C$38:$C$39</c:f>
              <c:strCache>
                <c:ptCount val="2"/>
                <c:pt idx="0">
                  <c:v>répéta</c:v>
                </c:pt>
                <c:pt idx="1">
                  <c:v>opérateur</c:v>
                </c:pt>
              </c:strCache>
            </c:strRef>
          </c:cat>
          <c:val>
            <c:numRef>
              <c:f>'1F5N'!$L$38:$L$39</c:f>
              <c:numCache>
                <c:formatCode>0%</c:formatCode>
                <c:ptCount val="2"/>
                <c:pt idx="0">
                  <c:v>0.56554796921903971</c:v>
                </c:pt>
                <c:pt idx="1">
                  <c:v>0.43445203078096023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5D-4ADE-9433-C51151281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3375712"/>
        <c:axId val="373382240"/>
      </c:barChart>
      <c:catAx>
        <c:axId val="37337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3382240"/>
        <c:crosses val="autoZero"/>
        <c:auto val="1"/>
        <c:lblAlgn val="ctr"/>
        <c:lblOffset val="100"/>
        <c:noMultiLvlLbl val="0"/>
      </c:catAx>
      <c:valAx>
        <c:axId val="37338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3375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moyenne</c:v>
          </c:tx>
          <c:spPr>
            <a:ln w="34925" cap="rnd" cmpd="sng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'1F5N'!$W$11:$W$71</c:f>
              <c:numCache>
                <c:formatCode>0.00</c:formatCode>
                <c:ptCount val="61"/>
                <c:pt idx="0">
                  <c:v>19.340957326356591</c:v>
                </c:pt>
                <c:pt idx="1">
                  <c:v>19.391811519599937</c:v>
                </c:pt>
                <c:pt idx="2">
                  <c:v>19.442665712843283</c:v>
                </c:pt>
                <c:pt idx="3">
                  <c:v>19.493519906086629</c:v>
                </c:pt>
                <c:pt idx="4">
                  <c:v>19.544374099329975</c:v>
                </c:pt>
                <c:pt idx="5">
                  <c:v>19.595228292573321</c:v>
                </c:pt>
                <c:pt idx="6">
                  <c:v>19.646082485816667</c:v>
                </c:pt>
                <c:pt idx="7">
                  <c:v>19.696936679060009</c:v>
                </c:pt>
                <c:pt idx="8">
                  <c:v>19.747790872303355</c:v>
                </c:pt>
                <c:pt idx="9">
                  <c:v>19.798645065546701</c:v>
                </c:pt>
                <c:pt idx="10">
                  <c:v>19.849499258790047</c:v>
                </c:pt>
                <c:pt idx="11">
                  <c:v>19.900353452033393</c:v>
                </c:pt>
                <c:pt idx="12">
                  <c:v>19.951207645276739</c:v>
                </c:pt>
                <c:pt idx="13">
                  <c:v>20.002061838520085</c:v>
                </c:pt>
                <c:pt idx="14">
                  <c:v>20.052916031763427</c:v>
                </c:pt>
                <c:pt idx="15">
                  <c:v>20.103770225006773</c:v>
                </c:pt>
                <c:pt idx="16">
                  <c:v>20.154624418250119</c:v>
                </c:pt>
                <c:pt idx="17">
                  <c:v>20.205478611493465</c:v>
                </c:pt>
                <c:pt idx="18">
                  <c:v>20.256332804736811</c:v>
                </c:pt>
                <c:pt idx="19">
                  <c:v>20.307186997980157</c:v>
                </c:pt>
                <c:pt idx="20">
                  <c:v>20.358041191223499</c:v>
                </c:pt>
                <c:pt idx="21">
                  <c:v>20.408895384466845</c:v>
                </c:pt>
                <c:pt idx="22">
                  <c:v>20.459749577710191</c:v>
                </c:pt>
                <c:pt idx="23">
                  <c:v>20.510603770953537</c:v>
                </c:pt>
                <c:pt idx="24">
                  <c:v>20.561457964196883</c:v>
                </c:pt>
                <c:pt idx="25">
                  <c:v>20.612312157440229</c:v>
                </c:pt>
                <c:pt idx="26">
                  <c:v>20.663166350683575</c:v>
                </c:pt>
                <c:pt idx="27">
                  <c:v>20.714020543926917</c:v>
                </c:pt>
                <c:pt idx="28">
                  <c:v>20.764874737170263</c:v>
                </c:pt>
                <c:pt idx="29">
                  <c:v>20.815728930413609</c:v>
                </c:pt>
                <c:pt idx="30">
                  <c:v>20.866583123656955</c:v>
                </c:pt>
                <c:pt idx="31">
                  <c:v>20.917437316900301</c:v>
                </c:pt>
                <c:pt idx="32">
                  <c:v>20.968291510143647</c:v>
                </c:pt>
                <c:pt idx="33">
                  <c:v>21.019145703386993</c:v>
                </c:pt>
                <c:pt idx="34">
                  <c:v>21.069999896630335</c:v>
                </c:pt>
                <c:pt idx="35">
                  <c:v>21.120854089873681</c:v>
                </c:pt>
                <c:pt idx="36">
                  <c:v>21.171708283117027</c:v>
                </c:pt>
                <c:pt idx="37">
                  <c:v>21.222562476360373</c:v>
                </c:pt>
                <c:pt idx="38">
                  <c:v>21.273416669603719</c:v>
                </c:pt>
                <c:pt idx="39">
                  <c:v>21.324270862847065</c:v>
                </c:pt>
                <c:pt idx="40">
                  <c:v>21.375125056090411</c:v>
                </c:pt>
                <c:pt idx="41">
                  <c:v>21.425979249333754</c:v>
                </c:pt>
                <c:pt idx="42">
                  <c:v>21.476833442577099</c:v>
                </c:pt>
                <c:pt idx="43">
                  <c:v>21.527687635820445</c:v>
                </c:pt>
                <c:pt idx="44">
                  <c:v>21.578541829063791</c:v>
                </c:pt>
                <c:pt idx="45">
                  <c:v>21.629396022307137</c:v>
                </c:pt>
                <c:pt idx="46">
                  <c:v>21.680250215550483</c:v>
                </c:pt>
                <c:pt idx="47">
                  <c:v>21.731104408793826</c:v>
                </c:pt>
                <c:pt idx="48">
                  <c:v>21.781958602037172</c:v>
                </c:pt>
                <c:pt idx="49">
                  <c:v>21.832812795280518</c:v>
                </c:pt>
                <c:pt idx="50">
                  <c:v>21.883666988523863</c:v>
                </c:pt>
                <c:pt idx="51">
                  <c:v>21.934521181767209</c:v>
                </c:pt>
                <c:pt idx="52">
                  <c:v>21.985375375010555</c:v>
                </c:pt>
                <c:pt idx="53">
                  <c:v>22.036229568253901</c:v>
                </c:pt>
                <c:pt idx="54">
                  <c:v>22.087083761497244</c:v>
                </c:pt>
                <c:pt idx="55">
                  <c:v>22.137937954740597</c:v>
                </c:pt>
                <c:pt idx="56">
                  <c:v>22.188792147983936</c:v>
                </c:pt>
                <c:pt idx="57">
                  <c:v>22.239646341227282</c:v>
                </c:pt>
                <c:pt idx="58">
                  <c:v>22.290500534470631</c:v>
                </c:pt>
                <c:pt idx="59">
                  <c:v>22.341354727713977</c:v>
                </c:pt>
                <c:pt idx="60">
                  <c:v>22.392208920957323</c:v>
                </c:pt>
              </c:numCache>
            </c:numRef>
          </c:xVal>
          <c:yVal>
            <c:numRef>
              <c:f>'1F5N'!$X$11:$X$71</c:f>
              <c:numCache>
                <c:formatCode>0.00E+00</c:formatCode>
                <c:ptCount val="61"/>
                <c:pt idx="0">
                  <c:v>8.7148141171581872E-3</c:v>
                </c:pt>
                <c:pt idx="1">
                  <c:v>1.1705096551806477E-2</c:v>
                </c:pt>
                <c:pt idx="2">
                  <c:v>1.5564992930087885E-2</c:v>
                </c:pt>
                <c:pt idx="3">
                  <c:v>2.0491790646558428E-2</c:v>
                </c:pt>
                <c:pt idx="4">
                  <c:v>2.6709634677889758E-2</c:v>
                </c:pt>
                <c:pt idx="5">
                  <c:v>3.4467758459352439E-2</c:v>
                </c:pt>
                <c:pt idx="6">
                  <c:v>4.4036742826066809E-2</c:v>
                </c:pt>
                <c:pt idx="7">
                  <c:v>5.570246214712643E-2</c:v>
                </c:pt>
                <c:pt idx="8">
                  <c:v>6.9757458694664029E-2</c:v>
                </c:pt>
                <c:pt idx="9">
                  <c:v>8.6489615064698072E-2</c:v>
                </c:pt>
                <c:pt idx="10">
                  <c:v>0.10616817035093394</c:v>
                </c:pt>
                <c:pt idx="11">
                  <c:v>0.12902734384300354</c:v>
                </c:pt>
                <c:pt idx="12">
                  <c:v>0.15524807939259877</c:v>
                </c:pt>
                <c:pt idx="13">
                  <c:v>0.18493868721276863</c:v>
                </c:pt>
                <c:pt idx="14">
                  <c:v>0.21811541508225532</c:v>
                </c:pt>
                <c:pt idx="15">
                  <c:v>0.25468420086054483</c:v>
                </c:pt>
                <c:pt idx="16">
                  <c:v>0.29442501411687921</c:v>
                </c:pt>
                <c:pt idx="17">
                  <c:v>0.33698025888992372</c:v>
                </c:pt>
                <c:pt idx="18">
                  <c:v>0.38184865907517612</c:v>
                </c:pt>
                <c:pt idx="19">
                  <c:v>0.42838586778890331</c:v>
                </c:pt>
                <c:pt idx="20">
                  <c:v>0.47581272867956842</c:v>
                </c:pt>
                <c:pt idx="21">
                  <c:v>0.52323168047420188</c:v>
                </c:pt>
                <c:pt idx="22">
                  <c:v>0.56965126036954739</c:v>
                </c:pt>
                <c:pt idx="23">
                  <c:v>0.61401806508379042</c:v>
                </c:pt>
                <c:pt idx="24">
                  <c:v>0.65525491928908786</c:v>
                </c:pt>
                <c:pt idx="25">
                  <c:v>0.69230343519483462</c:v>
                </c:pt>
                <c:pt idx="26">
                  <c:v>0.72416868072430607</c:v>
                </c:pt>
                <c:pt idx="27">
                  <c:v>0.74996335825351168</c:v>
                </c:pt>
                <c:pt idx="28">
                  <c:v>0.76894877105660508</c:v>
                </c:pt>
                <c:pt idx="29">
                  <c:v>0.7805699435197615</c:v>
                </c:pt>
                <c:pt idx="30">
                  <c:v>0.78448256664387583</c:v>
                </c:pt>
                <c:pt idx="31">
                  <c:v>0.7805699435197615</c:v>
                </c:pt>
                <c:pt idx="32">
                  <c:v>0.76894877105660508</c:v>
                </c:pt>
                <c:pt idx="33">
                  <c:v>0.74996335825351168</c:v>
                </c:pt>
                <c:pt idx="34">
                  <c:v>0.72416868072430607</c:v>
                </c:pt>
                <c:pt idx="35">
                  <c:v>0.69230343519483462</c:v>
                </c:pt>
                <c:pt idx="36">
                  <c:v>0.65525491928908786</c:v>
                </c:pt>
                <c:pt idx="37">
                  <c:v>0.61401806508379042</c:v>
                </c:pt>
                <c:pt idx="38">
                  <c:v>0.56965126036954739</c:v>
                </c:pt>
                <c:pt idx="39">
                  <c:v>0.52323168047420188</c:v>
                </c:pt>
                <c:pt idx="40">
                  <c:v>0.47581272867956842</c:v>
                </c:pt>
                <c:pt idx="41">
                  <c:v>0.42838586778890331</c:v>
                </c:pt>
                <c:pt idx="42">
                  <c:v>0.38184865907517612</c:v>
                </c:pt>
                <c:pt idx="43">
                  <c:v>0.33698025888992372</c:v>
                </c:pt>
                <c:pt idx="44">
                  <c:v>0.29442501411687921</c:v>
                </c:pt>
                <c:pt idx="45">
                  <c:v>0.25468420086054483</c:v>
                </c:pt>
                <c:pt idx="46">
                  <c:v>0.21811541508225532</c:v>
                </c:pt>
                <c:pt idx="47">
                  <c:v>0.18493868721276863</c:v>
                </c:pt>
                <c:pt idx="48">
                  <c:v>0.15524807939259877</c:v>
                </c:pt>
                <c:pt idx="49">
                  <c:v>0.12902734384300354</c:v>
                </c:pt>
                <c:pt idx="50">
                  <c:v>0.10616817035093394</c:v>
                </c:pt>
                <c:pt idx="51">
                  <c:v>8.6489615064698072E-2</c:v>
                </c:pt>
                <c:pt idx="52">
                  <c:v>6.9757458694664029E-2</c:v>
                </c:pt>
                <c:pt idx="53">
                  <c:v>5.570246214712643E-2</c:v>
                </c:pt>
                <c:pt idx="54">
                  <c:v>4.4036742826066809E-2</c:v>
                </c:pt>
                <c:pt idx="55">
                  <c:v>3.4467758459351266E-2</c:v>
                </c:pt>
                <c:pt idx="56">
                  <c:v>2.6709634677889758E-2</c:v>
                </c:pt>
                <c:pt idx="57">
                  <c:v>2.0491790646558428E-2</c:v>
                </c:pt>
                <c:pt idx="58">
                  <c:v>1.5564992930087583E-2</c:v>
                </c:pt>
                <c:pt idx="59">
                  <c:v>1.1705096551806226E-2</c:v>
                </c:pt>
                <c:pt idx="60">
                  <c:v>8.7148141171580016E-3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80-46FE-ADC7-99FFA87D83F1}"/>
            </c:ext>
          </c:extLst>
        </c:ser>
        <c:ser>
          <c:idx val="1"/>
          <c:order val="1"/>
          <c:tx>
            <c:v>Tolérance</c:v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DF80-46FE-ADC7-99FFA87D83F1}"/>
              </c:ext>
            </c:extLst>
          </c:dPt>
          <c:xVal>
            <c:numRef>
              <c:f>'1F5N'!$Q$5:$R$5</c:f>
              <c:numCache>
                <c:formatCode>General</c:formatCode>
                <c:ptCount val="2"/>
                <c:pt idx="0">
                  <c:v>19</c:v>
                </c:pt>
                <c:pt idx="1">
                  <c:v>19</c:v>
                </c:pt>
              </c:numCache>
            </c:numRef>
          </c:xVal>
          <c:yVal>
            <c:numRef>
              <c:f>'1F5N'!$S$5:$T$5</c:f>
              <c:numCache>
                <c:formatCode>0.00E+00</c:formatCode>
                <c:ptCount val="2"/>
                <c:pt idx="0" formatCode="General">
                  <c:v>0</c:v>
                </c:pt>
                <c:pt idx="1">
                  <c:v>1.4198191279115291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80-46FE-ADC7-99FFA87D83F1}"/>
            </c:ext>
          </c:extLst>
        </c:ser>
        <c:ser>
          <c:idx val="2"/>
          <c:order val="2"/>
          <c:tx>
            <c:v>Tolérance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222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DF80-46FE-ADC7-99FFA87D83F1}"/>
              </c:ext>
            </c:extLst>
          </c:dPt>
          <c:xVal>
            <c:numRef>
              <c:f>'1F5N'!$Q$6:$R$6</c:f>
              <c:numCache>
                <c:formatCode>General</c:formatCode>
                <c:ptCount val="2"/>
                <c:pt idx="0">
                  <c:v>22</c:v>
                </c:pt>
                <c:pt idx="1">
                  <c:v>22</c:v>
                </c:pt>
              </c:numCache>
            </c:numRef>
          </c:xVal>
          <c:yVal>
            <c:numRef>
              <c:f>'1F5N'!$S$6:$T$6</c:f>
              <c:numCache>
                <c:formatCode>0.00E+00</c:formatCode>
                <c:ptCount val="2"/>
                <c:pt idx="0" formatCode="General">
                  <c:v>0</c:v>
                </c:pt>
                <c:pt idx="1">
                  <c:v>1.4198191279115291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F80-46FE-ADC7-99FFA87D83F1}"/>
            </c:ext>
          </c:extLst>
        </c:ser>
        <c:ser>
          <c:idx val="3"/>
          <c:order val="3"/>
          <c:tx>
            <c:strRef>
              <c:f>'1F5N'!$H$4</c:f>
              <c:strCache>
                <c:ptCount val="1"/>
                <c:pt idx="0">
                  <c:v>marie</c:v>
                </c:pt>
              </c:strCache>
            </c:strRef>
          </c:tx>
          <c:spPr>
            <a:ln w="22225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'1F5N'!$W$11:$W$71</c:f>
              <c:numCache>
                <c:formatCode>0.00</c:formatCode>
                <c:ptCount val="61"/>
                <c:pt idx="0">
                  <c:v>19.340957326356591</c:v>
                </c:pt>
                <c:pt idx="1">
                  <c:v>19.391811519599937</c:v>
                </c:pt>
                <c:pt idx="2">
                  <c:v>19.442665712843283</c:v>
                </c:pt>
                <c:pt idx="3">
                  <c:v>19.493519906086629</c:v>
                </c:pt>
                <c:pt idx="4">
                  <c:v>19.544374099329975</c:v>
                </c:pt>
                <c:pt idx="5">
                  <c:v>19.595228292573321</c:v>
                </c:pt>
                <c:pt idx="6">
                  <c:v>19.646082485816667</c:v>
                </c:pt>
                <c:pt idx="7">
                  <c:v>19.696936679060009</c:v>
                </c:pt>
                <c:pt idx="8">
                  <c:v>19.747790872303355</c:v>
                </c:pt>
                <c:pt idx="9">
                  <c:v>19.798645065546701</c:v>
                </c:pt>
                <c:pt idx="10">
                  <c:v>19.849499258790047</c:v>
                </c:pt>
                <c:pt idx="11">
                  <c:v>19.900353452033393</c:v>
                </c:pt>
                <c:pt idx="12">
                  <c:v>19.951207645276739</c:v>
                </c:pt>
                <c:pt idx="13">
                  <c:v>20.002061838520085</c:v>
                </c:pt>
                <c:pt idx="14">
                  <c:v>20.052916031763427</c:v>
                </c:pt>
                <c:pt idx="15">
                  <c:v>20.103770225006773</c:v>
                </c:pt>
                <c:pt idx="16">
                  <c:v>20.154624418250119</c:v>
                </c:pt>
                <c:pt idx="17">
                  <c:v>20.205478611493465</c:v>
                </c:pt>
                <c:pt idx="18">
                  <c:v>20.256332804736811</c:v>
                </c:pt>
                <c:pt idx="19">
                  <c:v>20.307186997980157</c:v>
                </c:pt>
                <c:pt idx="20">
                  <c:v>20.358041191223499</c:v>
                </c:pt>
                <c:pt idx="21">
                  <c:v>20.408895384466845</c:v>
                </c:pt>
                <c:pt idx="22">
                  <c:v>20.459749577710191</c:v>
                </c:pt>
                <c:pt idx="23">
                  <c:v>20.510603770953537</c:v>
                </c:pt>
                <c:pt idx="24">
                  <c:v>20.561457964196883</c:v>
                </c:pt>
                <c:pt idx="25">
                  <c:v>20.612312157440229</c:v>
                </c:pt>
                <c:pt idx="26">
                  <c:v>20.663166350683575</c:v>
                </c:pt>
                <c:pt idx="27">
                  <c:v>20.714020543926917</c:v>
                </c:pt>
                <c:pt idx="28">
                  <c:v>20.764874737170263</c:v>
                </c:pt>
                <c:pt idx="29">
                  <c:v>20.815728930413609</c:v>
                </c:pt>
                <c:pt idx="30">
                  <c:v>20.866583123656955</c:v>
                </c:pt>
                <c:pt idx="31">
                  <c:v>20.917437316900301</c:v>
                </c:pt>
                <c:pt idx="32">
                  <c:v>20.968291510143647</c:v>
                </c:pt>
                <c:pt idx="33">
                  <c:v>21.019145703386993</c:v>
                </c:pt>
                <c:pt idx="34">
                  <c:v>21.069999896630335</c:v>
                </c:pt>
                <c:pt idx="35">
                  <c:v>21.120854089873681</c:v>
                </c:pt>
                <c:pt idx="36">
                  <c:v>21.171708283117027</c:v>
                </c:pt>
                <c:pt idx="37">
                  <c:v>21.222562476360373</c:v>
                </c:pt>
                <c:pt idx="38">
                  <c:v>21.273416669603719</c:v>
                </c:pt>
                <c:pt idx="39">
                  <c:v>21.324270862847065</c:v>
                </c:pt>
                <c:pt idx="40">
                  <c:v>21.375125056090411</c:v>
                </c:pt>
                <c:pt idx="41">
                  <c:v>21.425979249333754</c:v>
                </c:pt>
                <c:pt idx="42">
                  <c:v>21.476833442577099</c:v>
                </c:pt>
                <c:pt idx="43">
                  <c:v>21.527687635820445</c:v>
                </c:pt>
                <c:pt idx="44">
                  <c:v>21.578541829063791</c:v>
                </c:pt>
                <c:pt idx="45">
                  <c:v>21.629396022307137</c:v>
                </c:pt>
                <c:pt idx="46">
                  <c:v>21.680250215550483</c:v>
                </c:pt>
                <c:pt idx="47">
                  <c:v>21.731104408793826</c:v>
                </c:pt>
                <c:pt idx="48">
                  <c:v>21.781958602037172</c:v>
                </c:pt>
                <c:pt idx="49">
                  <c:v>21.832812795280518</c:v>
                </c:pt>
                <c:pt idx="50">
                  <c:v>21.883666988523863</c:v>
                </c:pt>
                <c:pt idx="51">
                  <c:v>21.934521181767209</c:v>
                </c:pt>
                <c:pt idx="52">
                  <c:v>21.985375375010555</c:v>
                </c:pt>
                <c:pt idx="53">
                  <c:v>22.036229568253901</c:v>
                </c:pt>
                <c:pt idx="54">
                  <c:v>22.087083761497244</c:v>
                </c:pt>
                <c:pt idx="55">
                  <c:v>22.137937954740597</c:v>
                </c:pt>
                <c:pt idx="56">
                  <c:v>22.188792147983936</c:v>
                </c:pt>
                <c:pt idx="57">
                  <c:v>22.239646341227282</c:v>
                </c:pt>
                <c:pt idx="58">
                  <c:v>22.290500534470631</c:v>
                </c:pt>
                <c:pt idx="59">
                  <c:v>22.341354727713977</c:v>
                </c:pt>
                <c:pt idx="60">
                  <c:v>22.392208920957323</c:v>
                </c:pt>
              </c:numCache>
            </c:numRef>
          </c:xVal>
          <c:yVal>
            <c:numRef>
              <c:f>'1F5N'!$Y$11:$Y$71</c:f>
              <c:numCache>
                <c:formatCode>0.00E+00</c:formatCode>
                <c:ptCount val="61"/>
                <c:pt idx="0">
                  <c:v>3.0592892110403167E-6</c:v>
                </c:pt>
                <c:pt idx="1">
                  <c:v>5.7559314139481193E-6</c:v>
                </c:pt>
                <c:pt idx="2">
                  <c:v>1.065617471194209E-5</c:v>
                </c:pt>
                <c:pt idx="3">
                  <c:v>1.9412331583876797E-5</c:v>
                </c:pt>
                <c:pt idx="4">
                  <c:v>3.47972334068958E-5</c:v>
                </c:pt>
                <c:pt idx="5">
                  <c:v>6.137653662171915E-5</c:v>
                </c:pt>
                <c:pt idx="6">
                  <c:v>1.0652479005710166E-4</c:v>
                </c:pt>
                <c:pt idx="7">
                  <c:v>1.8192385169622265E-4</c:v>
                </c:pt>
                <c:pt idx="8">
                  <c:v>3.0571675728482186E-4</c:v>
                </c:pt>
                <c:pt idx="9">
                  <c:v>5.0552133955277466E-4</c:v>
                </c:pt>
                <c:pt idx="10">
                  <c:v>8.225274275723833E-4</c:v>
                </c:pt>
                <c:pt idx="11">
                  <c:v>1.3168973713094585E-3</c:v>
                </c:pt>
                <c:pt idx="12">
                  <c:v>2.0746465567644018E-3</c:v>
                </c:pt>
                <c:pt idx="13">
                  <c:v>3.2160808280861188E-3</c:v>
                </c:pt>
                <c:pt idx="14">
                  <c:v>4.9056938008702044E-3</c:v>
                </c:pt>
                <c:pt idx="15">
                  <c:v>7.3631655695559862E-3</c:v>
                </c:pt>
                <c:pt idx="16">
                  <c:v>1.0874751504180706E-2</c:v>
                </c:pt>
                <c:pt idx="17">
                  <c:v>1.5803917870315726E-2</c:v>
                </c:pt>
                <c:pt idx="18">
                  <c:v>2.2599604193690479E-2</c:v>
                </c:pt>
                <c:pt idx="19">
                  <c:v>3.1800031391110636E-2</c:v>
                </c:pt>
                <c:pt idx="20">
                  <c:v>4.4029617340045811E-2</c:v>
                </c:pt>
                <c:pt idx="21">
                  <c:v>5.9986416702697554E-2</c:v>
                </c:pt>
                <c:pt idx="22">
                  <c:v>8.0417686659919108E-2</c:v>
                </c:pt>
                <c:pt idx="23">
                  <c:v>0.10608179949932364</c:v>
                </c:pt>
                <c:pt idx="24">
                  <c:v>0.13769584238959176</c:v>
                </c:pt>
                <c:pt idx="25">
                  <c:v>0.17586986211201103</c:v>
                </c:pt>
                <c:pt idx="26">
                  <c:v>0.2210307338302161</c:v>
                </c:pt>
                <c:pt idx="27">
                  <c:v>0.27334085889343285</c:v>
                </c:pt>
                <c:pt idx="28">
                  <c:v>0.33261902837022561</c:v>
                </c:pt>
                <c:pt idx="29">
                  <c:v>0.3982724568398387</c:v>
                </c:pt>
                <c:pt idx="30">
                  <c:v>0.46924980666571897</c:v>
                </c:pt>
                <c:pt idx="31">
                  <c:v>0.54402465007807765</c:v>
                </c:pt>
                <c:pt idx="32">
                  <c:v>0.62061704751211344</c:v>
                </c:pt>
                <c:pt idx="33">
                  <c:v>0.69665774581872031</c:v>
                </c:pt>
                <c:pt idx="34">
                  <c:v>0.76949514875068514</c:v>
                </c:pt>
                <c:pt idx="35">
                  <c:v>0.83634015480994217</c:v>
                </c:pt>
                <c:pt idx="36">
                  <c:v>0.89443885756931496</c:v>
                </c:pt>
                <c:pt idx="37">
                  <c:v>0.94125872362912766</c:v>
                </c:pt>
                <c:pt idx="38">
                  <c:v>0.97467093854078968</c:v>
                </c:pt>
                <c:pt idx="39">
                  <c:v>0.99311071227185321</c:v>
                </c:pt>
                <c:pt idx="40">
                  <c:v>0.99569875155570831</c:v>
                </c:pt>
                <c:pt idx="41">
                  <c:v>0.98231076944384643</c:v>
                </c:pt>
                <c:pt idx="42">
                  <c:v>0.95358738006785015</c:v>
                </c:pt>
                <c:pt idx="43">
                  <c:v>0.91088328163514698</c:v>
                </c:pt>
                <c:pt idx="44">
                  <c:v>0.856161341233169</c:v>
                </c:pt>
                <c:pt idx="45">
                  <c:v>0.7918431124968609</c:v>
                </c:pt>
                <c:pt idx="46">
                  <c:v>0.72063162921965884</c:v>
                </c:pt>
                <c:pt idx="47">
                  <c:v>0.64532448391624797</c:v>
                </c:pt>
                <c:pt idx="48">
                  <c:v>0.56863503273111293</c:v>
                </c:pt>
                <c:pt idx="49">
                  <c:v>0.49303724584890168</c:v>
                </c:pt>
                <c:pt idx="50">
                  <c:v>0.4206457367907801</c:v>
                </c:pt>
                <c:pt idx="51">
                  <c:v>0.35313755146504455</c:v>
                </c:pt>
                <c:pt idx="52">
                  <c:v>0.29171714722230146</c:v>
                </c:pt>
                <c:pt idx="53">
                  <c:v>0.23712135111711818</c:v>
                </c:pt>
                <c:pt idx="54">
                  <c:v>0.18965749526035944</c:v>
                </c:pt>
                <c:pt idx="55">
                  <c:v>0.14926569490303607</c:v>
                </c:pt>
                <c:pt idx="56">
                  <c:v>0.11559542612997495</c:v>
                </c:pt>
                <c:pt idx="57">
                  <c:v>8.8087024495265467E-2</c:v>
                </c:pt>
                <c:pt idx="58">
                  <c:v>6.6050160407032502E-2</c:v>
                </c:pt>
                <c:pt idx="59">
                  <c:v>4.8733371707651615E-2</c:v>
                </c:pt>
                <c:pt idx="60">
                  <c:v>3.5380966292364431E-2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F80-46FE-ADC7-99FFA87D83F1}"/>
            </c:ext>
          </c:extLst>
        </c:ser>
        <c:ser>
          <c:idx val="4"/>
          <c:order val="4"/>
          <c:tx>
            <c:strRef>
              <c:f>'1F5N'!$I$4</c:f>
              <c:strCache>
                <c:ptCount val="1"/>
                <c:pt idx="0">
                  <c:v>pierre</c:v>
                </c:pt>
              </c:strCache>
            </c:strRef>
          </c:tx>
          <c:spPr>
            <a:ln w="22225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'1F5N'!$W$11:$W$71</c:f>
              <c:numCache>
                <c:formatCode>0.00</c:formatCode>
                <c:ptCount val="61"/>
                <c:pt idx="0">
                  <c:v>19.340957326356591</c:v>
                </c:pt>
                <c:pt idx="1">
                  <c:v>19.391811519599937</c:v>
                </c:pt>
                <c:pt idx="2">
                  <c:v>19.442665712843283</c:v>
                </c:pt>
                <c:pt idx="3">
                  <c:v>19.493519906086629</c:v>
                </c:pt>
                <c:pt idx="4">
                  <c:v>19.544374099329975</c:v>
                </c:pt>
                <c:pt idx="5">
                  <c:v>19.595228292573321</c:v>
                </c:pt>
                <c:pt idx="6">
                  <c:v>19.646082485816667</c:v>
                </c:pt>
                <c:pt idx="7">
                  <c:v>19.696936679060009</c:v>
                </c:pt>
                <c:pt idx="8">
                  <c:v>19.747790872303355</c:v>
                </c:pt>
                <c:pt idx="9">
                  <c:v>19.798645065546701</c:v>
                </c:pt>
                <c:pt idx="10">
                  <c:v>19.849499258790047</c:v>
                </c:pt>
                <c:pt idx="11">
                  <c:v>19.900353452033393</c:v>
                </c:pt>
                <c:pt idx="12">
                  <c:v>19.951207645276739</c:v>
                </c:pt>
                <c:pt idx="13">
                  <c:v>20.002061838520085</c:v>
                </c:pt>
                <c:pt idx="14">
                  <c:v>20.052916031763427</c:v>
                </c:pt>
                <c:pt idx="15">
                  <c:v>20.103770225006773</c:v>
                </c:pt>
                <c:pt idx="16">
                  <c:v>20.154624418250119</c:v>
                </c:pt>
                <c:pt idx="17">
                  <c:v>20.205478611493465</c:v>
                </c:pt>
                <c:pt idx="18">
                  <c:v>20.256332804736811</c:v>
                </c:pt>
                <c:pt idx="19">
                  <c:v>20.307186997980157</c:v>
                </c:pt>
                <c:pt idx="20">
                  <c:v>20.358041191223499</c:v>
                </c:pt>
                <c:pt idx="21">
                  <c:v>20.408895384466845</c:v>
                </c:pt>
                <c:pt idx="22">
                  <c:v>20.459749577710191</c:v>
                </c:pt>
                <c:pt idx="23">
                  <c:v>20.510603770953537</c:v>
                </c:pt>
                <c:pt idx="24">
                  <c:v>20.561457964196883</c:v>
                </c:pt>
                <c:pt idx="25">
                  <c:v>20.612312157440229</c:v>
                </c:pt>
                <c:pt idx="26">
                  <c:v>20.663166350683575</c:v>
                </c:pt>
                <c:pt idx="27">
                  <c:v>20.714020543926917</c:v>
                </c:pt>
                <c:pt idx="28">
                  <c:v>20.764874737170263</c:v>
                </c:pt>
                <c:pt idx="29">
                  <c:v>20.815728930413609</c:v>
                </c:pt>
                <c:pt idx="30">
                  <c:v>20.866583123656955</c:v>
                </c:pt>
                <c:pt idx="31">
                  <c:v>20.917437316900301</c:v>
                </c:pt>
                <c:pt idx="32">
                  <c:v>20.968291510143647</c:v>
                </c:pt>
                <c:pt idx="33">
                  <c:v>21.019145703386993</c:v>
                </c:pt>
                <c:pt idx="34">
                  <c:v>21.069999896630335</c:v>
                </c:pt>
                <c:pt idx="35">
                  <c:v>21.120854089873681</c:v>
                </c:pt>
                <c:pt idx="36">
                  <c:v>21.171708283117027</c:v>
                </c:pt>
                <c:pt idx="37">
                  <c:v>21.222562476360373</c:v>
                </c:pt>
                <c:pt idx="38">
                  <c:v>21.273416669603719</c:v>
                </c:pt>
                <c:pt idx="39">
                  <c:v>21.324270862847065</c:v>
                </c:pt>
                <c:pt idx="40">
                  <c:v>21.375125056090411</c:v>
                </c:pt>
                <c:pt idx="41">
                  <c:v>21.425979249333754</c:v>
                </c:pt>
                <c:pt idx="42">
                  <c:v>21.476833442577099</c:v>
                </c:pt>
                <c:pt idx="43">
                  <c:v>21.527687635820445</c:v>
                </c:pt>
                <c:pt idx="44">
                  <c:v>21.578541829063791</c:v>
                </c:pt>
                <c:pt idx="45">
                  <c:v>21.629396022307137</c:v>
                </c:pt>
                <c:pt idx="46">
                  <c:v>21.680250215550483</c:v>
                </c:pt>
                <c:pt idx="47">
                  <c:v>21.731104408793826</c:v>
                </c:pt>
                <c:pt idx="48">
                  <c:v>21.781958602037172</c:v>
                </c:pt>
                <c:pt idx="49">
                  <c:v>21.832812795280518</c:v>
                </c:pt>
                <c:pt idx="50">
                  <c:v>21.883666988523863</c:v>
                </c:pt>
                <c:pt idx="51">
                  <c:v>21.934521181767209</c:v>
                </c:pt>
                <c:pt idx="52">
                  <c:v>21.985375375010555</c:v>
                </c:pt>
                <c:pt idx="53">
                  <c:v>22.036229568253901</c:v>
                </c:pt>
                <c:pt idx="54">
                  <c:v>22.087083761497244</c:v>
                </c:pt>
                <c:pt idx="55">
                  <c:v>22.137937954740597</c:v>
                </c:pt>
                <c:pt idx="56">
                  <c:v>22.188792147983936</c:v>
                </c:pt>
                <c:pt idx="57">
                  <c:v>22.239646341227282</c:v>
                </c:pt>
                <c:pt idx="58">
                  <c:v>22.290500534470631</c:v>
                </c:pt>
                <c:pt idx="59">
                  <c:v>22.341354727713977</c:v>
                </c:pt>
                <c:pt idx="60">
                  <c:v>22.392208920957323</c:v>
                </c:pt>
              </c:numCache>
            </c:numRef>
          </c:xVal>
          <c:yVal>
            <c:numRef>
              <c:f>'1F5N'!$Z$11:$Z$71</c:f>
              <c:numCache>
                <c:formatCode>0.00E+00</c:formatCode>
                <c:ptCount val="61"/>
                <c:pt idx="0">
                  <c:v>1.8610443151131479E-3</c:v>
                </c:pt>
                <c:pt idx="1">
                  <c:v>3.3024671509052968E-3</c:v>
                </c:pt>
                <c:pt idx="2">
                  <c:v>5.7078264966644553E-3</c:v>
                </c:pt>
                <c:pt idx="3">
                  <c:v>9.608453327056541E-3</c:v>
                </c:pt>
                <c:pt idx="4">
                  <c:v>1.575384874961781E-2</c:v>
                </c:pt>
                <c:pt idx="5">
                  <c:v>2.5157664618320488E-2</c:v>
                </c:pt>
                <c:pt idx="6">
                  <c:v>3.9129512725233719E-2</c:v>
                </c:pt>
                <c:pt idx="7">
                  <c:v>5.9277382895319329E-2</c:v>
                </c:pt>
                <c:pt idx="8">
                  <c:v>8.7462939187440122E-2</c:v>
                </c:pt>
                <c:pt idx="9">
                  <c:v>0.125692562155274</c:v>
                </c:pt>
                <c:pt idx="10">
                  <c:v>0.17593228992432666</c:v>
                </c:pt>
                <c:pt idx="11">
                  <c:v>0.23984573316310026</c:v>
                </c:pt>
                <c:pt idx="12">
                  <c:v>0.3184702751316944</c:v>
                </c:pt>
                <c:pt idx="13">
                  <c:v>0.41186631520348826</c:v>
                </c:pt>
                <c:pt idx="14">
                  <c:v>0.51879300347594215</c:v>
                </c:pt>
                <c:pt idx="15">
                  <c:v>0.63647655622647259</c:v>
                </c:pt>
                <c:pt idx="16">
                  <c:v>0.76053845428229117</c:v>
                </c:pt>
                <c:pt idx="17">
                  <c:v>0.88513682366685142</c:v>
                </c:pt>
                <c:pt idx="18">
                  <c:v>1.0033445701794126</c:v>
                </c:pt>
                <c:pt idx="19">
                  <c:v>1.1077461917614759</c:v>
                </c:pt>
                <c:pt idx="20">
                  <c:v>1.191189595986953</c:v>
                </c:pt>
                <c:pt idx="21">
                  <c:v>1.247590279770372</c:v>
                </c:pt>
                <c:pt idx="22">
                  <c:v>1.272663352024425</c:v>
                </c:pt>
                <c:pt idx="23">
                  <c:v>1.2644613497122397</c:v>
                </c:pt>
                <c:pt idx="24">
                  <c:v>1.2236241636734766</c:v>
                </c:pt>
                <c:pt idx="25">
                  <c:v>1.1532965565618174</c:v>
                </c:pt>
                <c:pt idx="26">
                  <c:v>1.0587280292761183</c:v>
                </c:pt>
                <c:pt idx="27">
                  <c:v>0.94662570117168787</c:v>
                </c:pt>
                <c:pt idx="28">
                  <c:v>0.82437086981421637</c:v>
                </c:pt>
                <c:pt idx="29">
                  <c:v>0.69922580483790431</c:v>
                </c:pt>
                <c:pt idx="30">
                  <c:v>0.57764726700422753</c:v>
                </c:pt>
                <c:pt idx="31">
                  <c:v>0.46479180621552652</c:v>
                </c:pt>
                <c:pt idx="32">
                  <c:v>0.36425428434566171</c:v>
                </c:pt>
                <c:pt idx="33">
                  <c:v>0.27803619657895279</c:v>
                </c:pt>
                <c:pt idx="34">
                  <c:v>0.20670380640623776</c:v>
                </c:pt>
                <c:pt idx="35">
                  <c:v>0.14967389974548947</c:v>
                </c:pt>
                <c:pt idx="36">
                  <c:v>0.10555872586206209</c:v>
                </c:pt>
                <c:pt idx="37">
                  <c:v>7.2509125871661181E-2</c:v>
                </c:pt>
                <c:pt idx="38">
                  <c:v>4.8511160557086139E-2</c:v>
                </c:pt>
                <c:pt idx="39">
                  <c:v>3.1611210342258542E-2</c:v>
                </c:pt>
                <c:pt idx="40">
                  <c:v>2.006277716601507E-2</c:v>
                </c:pt>
                <c:pt idx="41">
                  <c:v>1.2401991788011907E-2</c:v>
                </c:pt>
                <c:pt idx="42">
                  <c:v>7.4669336847896402E-3</c:v>
                </c:pt>
                <c:pt idx="43">
                  <c:v>4.3786840993885563E-3</c:v>
                </c:pt>
                <c:pt idx="44">
                  <c:v>2.5008946578788946E-3</c:v>
                </c:pt>
                <c:pt idx="45">
                  <c:v>1.3912258820097032E-3</c:v>
                </c:pt>
                <c:pt idx="46">
                  <c:v>7.5378998535762952E-4</c:v>
                </c:pt>
                <c:pt idx="47">
                  <c:v>3.9778970837285908E-4</c:v>
                </c:pt>
                <c:pt idx="48">
                  <c:v>2.0445944963476729E-4</c:v>
                </c:pt>
                <c:pt idx="49">
                  <c:v>1.0235552658847003E-4</c:v>
                </c:pt>
                <c:pt idx="50">
                  <c:v>4.9907506433018875E-5</c:v>
                </c:pt>
                <c:pt idx="51">
                  <c:v>2.3701231423754338E-5</c:v>
                </c:pt>
                <c:pt idx="52">
                  <c:v>1.096292429878673E-5</c:v>
                </c:pt>
                <c:pt idx="53">
                  <c:v>4.9389244691793363E-6</c:v>
                </c:pt>
                <c:pt idx="54">
                  <c:v>2.1671492347753727E-6</c:v>
                </c:pt>
                <c:pt idx="55">
                  <c:v>9.2618068139303486E-7</c:v>
                </c:pt>
                <c:pt idx="56">
                  <c:v>3.8552547619729598E-7</c:v>
                </c:pt>
                <c:pt idx="57">
                  <c:v>1.5630069581984451E-7</c:v>
                </c:pt>
                <c:pt idx="58">
                  <c:v>6.1719046145037815E-8</c:v>
                </c:pt>
                <c:pt idx="59">
                  <c:v>2.3737116679182377E-8</c:v>
                </c:pt>
                <c:pt idx="60">
                  <c:v>8.8917488732185095E-9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F80-46FE-ADC7-99FFA87D83F1}"/>
            </c:ext>
          </c:extLst>
        </c:ser>
        <c:ser>
          <c:idx val="5"/>
          <c:order val="5"/>
          <c:tx>
            <c:strRef>
              <c:f>'1F5N'!$J$4</c:f>
              <c:strCache>
                <c:ptCount val="1"/>
                <c:pt idx="0">
                  <c:v>paul</c:v>
                </c:pt>
              </c:strCache>
            </c:strRef>
          </c:tx>
          <c:spPr>
            <a:ln w="22225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'1F5N'!$W$11:$W$71</c:f>
              <c:numCache>
                <c:formatCode>0.00</c:formatCode>
                <c:ptCount val="61"/>
                <c:pt idx="0">
                  <c:v>19.340957326356591</c:v>
                </c:pt>
                <c:pt idx="1">
                  <c:v>19.391811519599937</c:v>
                </c:pt>
                <c:pt idx="2">
                  <c:v>19.442665712843283</c:v>
                </c:pt>
                <c:pt idx="3">
                  <c:v>19.493519906086629</c:v>
                </c:pt>
                <c:pt idx="4">
                  <c:v>19.544374099329975</c:v>
                </c:pt>
                <c:pt idx="5">
                  <c:v>19.595228292573321</c:v>
                </c:pt>
                <c:pt idx="6">
                  <c:v>19.646082485816667</c:v>
                </c:pt>
                <c:pt idx="7">
                  <c:v>19.696936679060009</c:v>
                </c:pt>
                <c:pt idx="8">
                  <c:v>19.747790872303355</c:v>
                </c:pt>
                <c:pt idx="9">
                  <c:v>19.798645065546701</c:v>
                </c:pt>
                <c:pt idx="10">
                  <c:v>19.849499258790047</c:v>
                </c:pt>
                <c:pt idx="11">
                  <c:v>19.900353452033393</c:v>
                </c:pt>
                <c:pt idx="12">
                  <c:v>19.951207645276739</c:v>
                </c:pt>
                <c:pt idx="13">
                  <c:v>20.002061838520085</c:v>
                </c:pt>
                <c:pt idx="14">
                  <c:v>20.052916031763427</c:v>
                </c:pt>
                <c:pt idx="15">
                  <c:v>20.103770225006773</c:v>
                </c:pt>
                <c:pt idx="16">
                  <c:v>20.154624418250119</c:v>
                </c:pt>
                <c:pt idx="17">
                  <c:v>20.205478611493465</c:v>
                </c:pt>
                <c:pt idx="18">
                  <c:v>20.256332804736811</c:v>
                </c:pt>
                <c:pt idx="19">
                  <c:v>20.307186997980157</c:v>
                </c:pt>
                <c:pt idx="20">
                  <c:v>20.358041191223499</c:v>
                </c:pt>
                <c:pt idx="21">
                  <c:v>20.408895384466845</c:v>
                </c:pt>
                <c:pt idx="22">
                  <c:v>20.459749577710191</c:v>
                </c:pt>
                <c:pt idx="23">
                  <c:v>20.510603770953537</c:v>
                </c:pt>
                <c:pt idx="24">
                  <c:v>20.561457964196883</c:v>
                </c:pt>
                <c:pt idx="25">
                  <c:v>20.612312157440229</c:v>
                </c:pt>
                <c:pt idx="26">
                  <c:v>20.663166350683575</c:v>
                </c:pt>
                <c:pt idx="27">
                  <c:v>20.714020543926917</c:v>
                </c:pt>
                <c:pt idx="28">
                  <c:v>20.764874737170263</c:v>
                </c:pt>
                <c:pt idx="29">
                  <c:v>20.815728930413609</c:v>
                </c:pt>
                <c:pt idx="30">
                  <c:v>20.866583123656955</c:v>
                </c:pt>
                <c:pt idx="31">
                  <c:v>20.917437316900301</c:v>
                </c:pt>
                <c:pt idx="32">
                  <c:v>20.968291510143647</c:v>
                </c:pt>
                <c:pt idx="33">
                  <c:v>21.019145703386993</c:v>
                </c:pt>
                <c:pt idx="34">
                  <c:v>21.069999896630335</c:v>
                </c:pt>
                <c:pt idx="35">
                  <c:v>21.120854089873681</c:v>
                </c:pt>
                <c:pt idx="36">
                  <c:v>21.171708283117027</c:v>
                </c:pt>
                <c:pt idx="37">
                  <c:v>21.222562476360373</c:v>
                </c:pt>
                <c:pt idx="38">
                  <c:v>21.273416669603719</c:v>
                </c:pt>
                <c:pt idx="39">
                  <c:v>21.324270862847065</c:v>
                </c:pt>
                <c:pt idx="40">
                  <c:v>21.375125056090411</c:v>
                </c:pt>
                <c:pt idx="41">
                  <c:v>21.425979249333754</c:v>
                </c:pt>
                <c:pt idx="42">
                  <c:v>21.476833442577099</c:v>
                </c:pt>
                <c:pt idx="43">
                  <c:v>21.527687635820445</c:v>
                </c:pt>
                <c:pt idx="44">
                  <c:v>21.578541829063791</c:v>
                </c:pt>
                <c:pt idx="45">
                  <c:v>21.629396022307137</c:v>
                </c:pt>
                <c:pt idx="46">
                  <c:v>21.680250215550483</c:v>
                </c:pt>
                <c:pt idx="47">
                  <c:v>21.731104408793826</c:v>
                </c:pt>
                <c:pt idx="48">
                  <c:v>21.781958602037172</c:v>
                </c:pt>
                <c:pt idx="49">
                  <c:v>21.832812795280518</c:v>
                </c:pt>
                <c:pt idx="50">
                  <c:v>21.883666988523863</c:v>
                </c:pt>
                <c:pt idx="51">
                  <c:v>21.934521181767209</c:v>
                </c:pt>
                <c:pt idx="52">
                  <c:v>21.985375375010555</c:v>
                </c:pt>
                <c:pt idx="53">
                  <c:v>22.036229568253901</c:v>
                </c:pt>
                <c:pt idx="54">
                  <c:v>22.087083761497244</c:v>
                </c:pt>
                <c:pt idx="55">
                  <c:v>22.137937954740597</c:v>
                </c:pt>
                <c:pt idx="56">
                  <c:v>22.188792147983936</c:v>
                </c:pt>
                <c:pt idx="57">
                  <c:v>22.239646341227282</c:v>
                </c:pt>
                <c:pt idx="58">
                  <c:v>22.290500534470631</c:v>
                </c:pt>
                <c:pt idx="59">
                  <c:v>22.341354727713977</c:v>
                </c:pt>
                <c:pt idx="60">
                  <c:v>22.392208920957323</c:v>
                </c:pt>
              </c:numCache>
            </c:numRef>
          </c:xVal>
          <c:yVal>
            <c:numRef>
              <c:f>'1F5N'!$AA$11:$AA$71</c:f>
              <c:numCache>
                <c:formatCode>0.00E+00</c:formatCode>
                <c:ptCount val="61"/>
                <c:pt idx="0">
                  <c:v>9.6269125783894662E-3</c:v>
                </c:pt>
                <c:pt idx="1">
                  <c:v>1.2304454902259756E-2</c:v>
                </c:pt>
                <c:pt idx="2">
                  <c:v>1.5612189314594575E-2</c:v>
                </c:pt>
                <c:pt idx="3">
                  <c:v>1.9664880800112732E-2</c:v>
                </c:pt>
                <c:pt idx="4">
                  <c:v>2.4589228731245513E-2</c:v>
                </c:pt>
                <c:pt idx="5">
                  <c:v>3.0522814312520141E-2</c:v>
                </c:pt>
                <c:pt idx="6">
                  <c:v>3.7612337262730104E-2</c:v>
                </c:pt>
                <c:pt idx="7">
                  <c:v>4.6011050397755396E-2</c:v>
                </c:pt>
                <c:pt idx="8">
                  <c:v>5.5875323882602843E-2</c:v>
                </c:pt>
                <c:pt idx="9">
                  <c:v>6.7360303977516842E-2</c:v>
                </c:pt>
                <c:pt idx="10">
                  <c:v>8.0614674058404265E-2</c:v>
                </c:pt>
                <c:pt idx="11">
                  <c:v>9.5774577689008378E-2</c:v>
                </c:pt>
                <c:pt idx="12">
                  <c:v>0.11295682279158352</c:v>
                </c:pt>
                <c:pt idx="13">
                  <c:v>0.13225154977876069</c:v>
                </c:pt>
                <c:pt idx="14">
                  <c:v>0.15371461122943103</c:v>
                </c:pt>
                <c:pt idx="15">
                  <c:v>0.1773599718899409</c:v>
                </c:pt>
                <c:pt idx="16">
                  <c:v>0.20315249048316236</c:v>
                </c:pt>
                <c:pt idx="17">
                  <c:v>0.23100148381622904</c:v>
                </c:pt>
                <c:pt idx="18">
                  <c:v>0.26075549398474734</c:v>
                </c:pt>
                <c:pt idx="19">
                  <c:v>0.29219867671735361</c:v>
                </c:pt>
                <c:pt idx="20">
                  <c:v>0.3250491998513928</c:v>
                </c:pt>
                <c:pt idx="21">
                  <c:v>0.35895998390407152</c:v>
                </c:pt>
                <c:pt idx="22">
                  <c:v>0.39352203195430652</c:v>
                </c:pt>
                <c:pt idx="23">
                  <c:v>0.42827048598749751</c:v>
                </c:pt>
                <c:pt idx="24">
                  <c:v>0.4626934161094311</c:v>
                </c:pt>
                <c:pt idx="25">
                  <c:v>0.49624320432955932</c:v>
                </c:pt>
                <c:pt idx="26">
                  <c:v>0.52835023442609519</c:v>
                </c:pt>
                <c:pt idx="27">
                  <c:v>0.55843845343947829</c:v>
                </c:pt>
                <c:pt idx="28">
                  <c:v>0.58594223883399887</c:v>
                </c:pt>
                <c:pt idx="29">
                  <c:v>0.61032389829013245</c:v>
                </c:pt>
                <c:pt idx="30">
                  <c:v>0.63109105530586973</c:v>
                </c:pt>
                <c:pt idx="31">
                  <c:v>0.64781314024826142</c:v>
                </c:pt>
                <c:pt idx="32">
                  <c:v>0.66013621756923102</c:v>
                </c:pt>
                <c:pt idx="33">
                  <c:v>0.66779543686125209</c:v>
                </c:pt>
                <c:pt idx="34">
                  <c:v>0.67062449623142395</c:v>
                </c:pt>
                <c:pt idx="35">
                  <c:v>0.66856164578361132</c:v>
                </c:pt>
                <c:pt idx="36">
                  <c:v>0.66165192852886556</c:v>
                </c:pt>
                <c:pt idx="37">
                  <c:v>0.65004554514784085</c:v>
                </c:pt>
                <c:pt idx="38">
                  <c:v>0.63399242551558244</c:v>
                </c:pt>
                <c:pt idx="39">
                  <c:v>0.61383328099399348</c:v>
                </c:pt>
                <c:pt idx="40">
                  <c:v>0.58998758485304115</c:v>
                </c:pt>
                <c:pt idx="41">
                  <c:v>0.56293907285119882</c:v>
                </c:pt>
                <c:pt idx="42">
                  <c:v>0.53321946328423375</c:v>
                </c:pt>
                <c:pt idx="43">
                  <c:v>0.50139115987326699</c:v>
                </c:pt>
                <c:pt idx="44">
                  <c:v>0.4680297191348155</c:v>
                </c:pt>
                <c:pt idx="45">
                  <c:v>0.43370683712366592</c:v>
                </c:pt>
                <c:pt idx="46">
                  <c:v>0.39897454256905718</c:v>
                </c:pt>
                <c:pt idx="47">
                  <c:v>0.36435118102478098</c:v>
                </c:pt>
                <c:pt idx="48">
                  <c:v>0.33030964633908005</c:v>
                </c:pt>
                <c:pt idx="49">
                  <c:v>0.29726817137300443</c:v>
                </c:pt>
                <c:pt idx="50">
                  <c:v>0.26558383970619781</c:v>
                </c:pt>
                <c:pt idx="51">
                  <c:v>0.23554883390382642</c:v>
                </c:pt>
                <c:pt idx="52">
                  <c:v>0.20738930248750684</c:v>
                </c:pt>
                <c:pt idx="53">
                  <c:v>0.18126661408249067</c:v>
                </c:pt>
                <c:pt idx="54">
                  <c:v>0.15728067827614173</c:v>
                </c:pt>
                <c:pt idx="55">
                  <c:v>0.13547495127674797</c:v>
                </c:pt>
                <c:pt idx="56">
                  <c:v>0.11584271108480447</c:v>
                </c:pt>
                <c:pt idx="57">
                  <c:v>9.8334180187468478E-2</c:v>
                </c:pt>
                <c:pt idx="58">
                  <c:v>8.286409074102255E-2</c:v>
                </c:pt>
                <c:pt idx="59">
                  <c:v>6.9319323600081986E-2</c:v>
                </c:pt>
                <c:pt idx="60">
                  <c:v>5.7566303449210036E-2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F80-46FE-ADC7-99FFA87D83F1}"/>
            </c:ext>
          </c:extLst>
        </c:ser>
        <c:ser>
          <c:idx val="6"/>
          <c:order val="6"/>
          <c:tx>
            <c:strRef>
              <c:f>'1F5N'!$K$4</c:f>
              <c:strCache>
                <c:ptCount val="1"/>
                <c:pt idx="0">
                  <c:v>jack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'1F5N'!$W$11:$W$71</c:f>
              <c:numCache>
                <c:formatCode>0.00</c:formatCode>
                <c:ptCount val="61"/>
                <c:pt idx="0">
                  <c:v>19.340957326356591</c:v>
                </c:pt>
                <c:pt idx="1">
                  <c:v>19.391811519599937</c:v>
                </c:pt>
                <c:pt idx="2">
                  <c:v>19.442665712843283</c:v>
                </c:pt>
                <c:pt idx="3">
                  <c:v>19.493519906086629</c:v>
                </c:pt>
                <c:pt idx="4">
                  <c:v>19.544374099329975</c:v>
                </c:pt>
                <c:pt idx="5">
                  <c:v>19.595228292573321</c:v>
                </c:pt>
                <c:pt idx="6">
                  <c:v>19.646082485816667</c:v>
                </c:pt>
                <c:pt idx="7">
                  <c:v>19.696936679060009</c:v>
                </c:pt>
                <c:pt idx="8">
                  <c:v>19.747790872303355</c:v>
                </c:pt>
                <c:pt idx="9">
                  <c:v>19.798645065546701</c:v>
                </c:pt>
                <c:pt idx="10">
                  <c:v>19.849499258790047</c:v>
                </c:pt>
                <c:pt idx="11">
                  <c:v>19.900353452033393</c:v>
                </c:pt>
                <c:pt idx="12">
                  <c:v>19.951207645276739</c:v>
                </c:pt>
                <c:pt idx="13">
                  <c:v>20.002061838520085</c:v>
                </c:pt>
                <c:pt idx="14">
                  <c:v>20.052916031763427</c:v>
                </c:pt>
                <c:pt idx="15">
                  <c:v>20.103770225006773</c:v>
                </c:pt>
                <c:pt idx="16">
                  <c:v>20.154624418250119</c:v>
                </c:pt>
                <c:pt idx="17">
                  <c:v>20.205478611493465</c:v>
                </c:pt>
                <c:pt idx="18">
                  <c:v>20.256332804736811</c:v>
                </c:pt>
                <c:pt idx="19">
                  <c:v>20.307186997980157</c:v>
                </c:pt>
                <c:pt idx="20">
                  <c:v>20.358041191223499</c:v>
                </c:pt>
                <c:pt idx="21">
                  <c:v>20.408895384466845</c:v>
                </c:pt>
                <c:pt idx="22">
                  <c:v>20.459749577710191</c:v>
                </c:pt>
                <c:pt idx="23">
                  <c:v>20.510603770953537</c:v>
                </c:pt>
                <c:pt idx="24">
                  <c:v>20.561457964196883</c:v>
                </c:pt>
                <c:pt idx="25">
                  <c:v>20.612312157440229</c:v>
                </c:pt>
                <c:pt idx="26">
                  <c:v>20.663166350683575</c:v>
                </c:pt>
                <c:pt idx="27">
                  <c:v>20.714020543926917</c:v>
                </c:pt>
                <c:pt idx="28">
                  <c:v>20.764874737170263</c:v>
                </c:pt>
                <c:pt idx="29">
                  <c:v>20.815728930413609</c:v>
                </c:pt>
                <c:pt idx="30">
                  <c:v>20.866583123656955</c:v>
                </c:pt>
                <c:pt idx="31">
                  <c:v>20.917437316900301</c:v>
                </c:pt>
                <c:pt idx="32">
                  <c:v>20.968291510143647</c:v>
                </c:pt>
                <c:pt idx="33">
                  <c:v>21.019145703386993</c:v>
                </c:pt>
                <c:pt idx="34">
                  <c:v>21.069999896630335</c:v>
                </c:pt>
                <c:pt idx="35">
                  <c:v>21.120854089873681</c:v>
                </c:pt>
                <c:pt idx="36">
                  <c:v>21.171708283117027</c:v>
                </c:pt>
                <c:pt idx="37">
                  <c:v>21.222562476360373</c:v>
                </c:pt>
                <c:pt idx="38">
                  <c:v>21.273416669603719</c:v>
                </c:pt>
                <c:pt idx="39">
                  <c:v>21.324270862847065</c:v>
                </c:pt>
                <c:pt idx="40">
                  <c:v>21.375125056090411</c:v>
                </c:pt>
                <c:pt idx="41">
                  <c:v>21.425979249333754</c:v>
                </c:pt>
                <c:pt idx="42">
                  <c:v>21.476833442577099</c:v>
                </c:pt>
                <c:pt idx="43">
                  <c:v>21.527687635820445</c:v>
                </c:pt>
                <c:pt idx="44">
                  <c:v>21.578541829063791</c:v>
                </c:pt>
                <c:pt idx="45">
                  <c:v>21.629396022307137</c:v>
                </c:pt>
                <c:pt idx="46">
                  <c:v>21.680250215550483</c:v>
                </c:pt>
                <c:pt idx="47">
                  <c:v>21.731104408793826</c:v>
                </c:pt>
                <c:pt idx="48">
                  <c:v>21.781958602037172</c:v>
                </c:pt>
                <c:pt idx="49">
                  <c:v>21.832812795280518</c:v>
                </c:pt>
                <c:pt idx="50">
                  <c:v>21.883666988523863</c:v>
                </c:pt>
                <c:pt idx="51">
                  <c:v>21.934521181767209</c:v>
                </c:pt>
                <c:pt idx="52">
                  <c:v>21.985375375010555</c:v>
                </c:pt>
                <c:pt idx="53">
                  <c:v>22.036229568253901</c:v>
                </c:pt>
                <c:pt idx="54">
                  <c:v>22.087083761497244</c:v>
                </c:pt>
                <c:pt idx="55">
                  <c:v>22.137937954740597</c:v>
                </c:pt>
                <c:pt idx="56">
                  <c:v>22.188792147983936</c:v>
                </c:pt>
                <c:pt idx="57">
                  <c:v>22.239646341227282</c:v>
                </c:pt>
                <c:pt idx="58">
                  <c:v>22.290500534470631</c:v>
                </c:pt>
                <c:pt idx="59">
                  <c:v>22.341354727713977</c:v>
                </c:pt>
                <c:pt idx="60">
                  <c:v>22.392208920957323</c:v>
                </c:pt>
              </c:numCache>
            </c:numRef>
          </c:xVal>
          <c:yVal>
            <c:numRef>
              <c:f>'1F5N'!$AB$11:$AB$71</c:f>
              <c:numCache>
                <c:formatCode>0.00E+00</c:formatCode>
                <c:ptCount val="61"/>
                <c:pt idx="0">
                  <c:v>1.469203595045562E-3</c:v>
                </c:pt>
                <c:pt idx="1">
                  <c:v>2.5746567958421685E-3</c:v>
                </c:pt>
                <c:pt idx="2">
                  <c:v>4.4030156546773511E-3</c:v>
                </c:pt>
                <c:pt idx="3">
                  <c:v>7.3480928427689871E-3</c:v>
                </c:pt>
                <c:pt idx="4">
                  <c:v>1.1967200340524125E-2</c:v>
                </c:pt>
                <c:pt idx="5">
                  <c:v>1.9019715188369275E-2</c:v>
                </c:pt>
                <c:pt idx="6">
                  <c:v>2.9499114407988167E-2</c:v>
                </c:pt>
                <c:pt idx="7">
                  <c:v>4.4648561205777273E-2</c:v>
                </c:pt>
                <c:pt idx="8">
                  <c:v>6.5947673585086478E-2</c:v>
                </c:pt>
                <c:pt idx="9">
                  <c:v>9.5057198818420188E-2</c:v>
                </c:pt>
                <c:pt idx="10">
                  <c:v>0.13371005451959575</c:v>
                </c:pt>
                <c:pt idx="11">
                  <c:v>0.18354249911744186</c:v>
                </c:pt>
                <c:pt idx="12">
                  <c:v>0.24586841233796922</c:v>
                </c:pt>
                <c:pt idx="13">
                  <c:v>0.32141219750241246</c:v>
                </c:pt>
                <c:pt idx="14">
                  <c:v>0.41002986719335521</c:v>
                </c:pt>
                <c:pt idx="15">
                  <c:v>0.51046051249716373</c:v>
                </c:pt>
                <c:pt idx="16">
                  <c:v>0.62015797506769599</c:v>
                </c:pt>
                <c:pt idx="17">
                  <c:v>0.73525169604066376</c:v>
                </c:pt>
                <c:pt idx="18">
                  <c:v>0.85067419381572651</c:v>
                </c:pt>
                <c:pt idx="19">
                  <c:v>0.96047043835533308</c:v>
                </c:pt>
                <c:pt idx="20">
                  <c:v>1.0582743454042809</c:v>
                </c:pt>
                <c:pt idx="21">
                  <c:v>1.1379051287628108</c:v>
                </c:pt>
                <c:pt idx="22">
                  <c:v>1.1940083469309541</c:v>
                </c:pt>
                <c:pt idx="23">
                  <c:v>1.2226501119123236</c:v>
                </c:pt>
                <c:pt idx="24">
                  <c:v>1.2217730530161426</c:v>
                </c:pt>
                <c:pt idx="25">
                  <c:v>1.1914406509075561</c:v>
                </c:pt>
                <c:pt idx="26">
                  <c:v>1.1338296414116087</c:v>
                </c:pt>
                <c:pt idx="27">
                  <c:v>1.0529717514482877</c:v>
                </c:pt>
                <c:pt idx="28">
                  <c:v>0.95428732476777045</c:v>
                </c:pt>
                <c:pt idx="29">
                  <c:v>0.84398574544209615</c:v>
                </c:pt>
                <c:pt idx="30">
                  <c:v>0.72842457471594313</c:v>
                </c:pt>
                <c:pt idx="31">
                  <c:v>0.61351839369812933</c:v>
                </c:pt>
                <c:pt idx="32">
                  <c:v>0.50427113280204794</c:v>
                </c:pt>
                <c:pt idx="33">
                  <c:v>0.40447729559892731</c:v>
                </c:pt>
                <c:pt idx="34">
                  <c:v>0.31660495735362487</c:v>
                </c:pt>
                <c:pt idx="35">
                  <c:v>0.24184370864256344</c:v>
                </c:pt>
                <c:pt idx="36">
                  <c:v>0.18027910719721349</c:v>
                </c:pt>
                <c:pt idx="37">
                  <c:v>0.13114433171697312</c:v>
                </c:pt>
                <c:pt idx="38">
                  <c:v>9.3099462002479871E-2</c:v>
                </c:pt>
                <c:pt idx="39">
                  <c:v>6.4496825503210217E-2</c:v>
                </c:pt>
                <c:pt idx="40">
                  <c:v>4.3603668451353661E-2</c:v>
                </c:pt>
                <c:pt idx="41">
                  <c:v>2.8767441541937902E-2</c:v>
                </c:pt>
                <c:pt idx="42">
                  <c:v>1.8521364167196002E-2</c:v>
                </c:pt>
                <c:pt idx="43">
                  <c:v>1.1636924691705054E-2</c:v>
                </c:pt>
                <c:pt idx="44">
                  <c:v>7.1350496221783168E-3</c:v>
                </c:pt>
                <c:pt idx="45">
                  <c:v>4.2692274493622345E-3</c:v>
                </c:pt>
                <c:pt idx="46">
                  <c:v>2.4928440455966499E-3</c:v>
                </c:pt>
                <c:pt idx="47">
                  <c:v>1.4204777883102021E-3</c:v>
                </c:pt>
                <c:pt idx="48">
                  <c:v>7.8989125543310092E-4</c:v>
                </c:pt>
                <c:pt idx="49">
                  <c:v>4.286409767983013E-4</c:v>
                </c:pt>
                <c:pt idx="50">
                  <c:v>2.2699358668898899E-4</c:v>
                </c:pt>
                <c:pt idx="51">
                  <c:v>1.1730783225738204E-4</c:v>
                </c:pt>
                <c:pt idx="52">
                  <c:v>5.9160788414536201E-5</c:v>
                </c:pt>
                <c:pt idx="53">
                  <c:v>2.9116181489048586E-5</c:v>
                </c:pt>
                <c:pt idx="54">
                  <c:v>1.3983903029749954E-5</c:v>
                </c:pt>
                <c:pt idx="55">
                  <c:v>6.5541429718826598E-6</c:v>
                </c:pt>
                <c:pt idx="56">
                  <c:v>2.9977605436207473E-6</c:v>
                </c:pt>
                <c:pt idx="57">
                  <c:v>1.3380473696560587E-6</c:v>
                </c:pt>
                <c:pt idx="58">
                  <c:v>5.8282686130424522E-7</c:v>
                </c:pt>
                <c:pt idx="59">
                  <c:v>2.4774286244801386E-7</c:v>
                </c:pt>
                <c:pt idx="60">
                  <c:v>1.0276761181884439E-7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F80-46FE-ADC7-99FFA87D83F1}"/>
            </c:ext>
          </c:extLst>
        </c:ser>
        <c:ser>
          <c:idx val="7"/>
          <c:order val="7"/>
          <c:tx>
            <c:strRef>
              <c:f>'1F5N'!$L$4</c:f>
              <c:strCache>
                <c:ptCount val="1"/>
                <c:pt idx="0">
                  <c:v>sophie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'1F5N'!$W$11:$W$71</c:f>
              <c:numCache>
                <c:formatCode>0.00</c:formatCode>
                <c:ptCount val="61"/>
                <c:pt idx="0">
                  <c:v>19.340957326356591</c:v>
                </c:pt>
                <c:pt idx="1">
                  <c:v>19.391811519599937</c:v>
                </c:pt>
                <c:pt idx="2">
                  <c:v>19.442665712843283</c:v>
                </c:pt>
                <c:pt idx="3">
                  <c:v>19.493519906086629</c:v>
                </c:pt>
                <c:pt idx="4">
                  <c:v>19.544374099329975</c:v>
                </c:pt>
                <c:pt idx="5">
                  <c:v>19.595228292573321</c:v>
                </c:pt>
                <c:pt idx="6">
                  <c:v>19.646082485816667</c:v>
                </c:pt>
                <c:pt idx="7">
                  <c:v>19.696936679060009</c:v>
                </c:pt>
                <c:pt idx="8">
                  <c:v>19.747790872303355</c:v>
                </c:pt>
                <c:pt idx="9">
                  <c:v>19.798645065546701</c:v>
                </c:pt>
                <c:pt idx="10">
                  <c:v>19.849499258790047</c:v>
                </c:pt>
                <c:pt idx="11">
                  <c:v>19.900353452033393</c:v>
                </c:pt>
                <c:pt idx="12">
                  <c:v>19.951207645276739</c:v>
                </c:pt>
                <c:pt idx="13">
                  <c:v>20.002061838520085</c:v>
                </c:pt>
                <c:pt idx="14">
                  <c:v>20.052916031763427</c:v>
                </c:pt>
                <c:pt idx="15">
                  <c:v>20.103770225006773</c:v>
                </c:pt>
                <c:pt idx="16">
                  <c:v>20.154624418250119</c:v>
                </c:pt>
                <c:pt idx="17">
                  <c:v>20.205478611493465</c:v>
                </c:pt>
                <c:pt idx="18">
                  <c:v>20.256332804736811</c:v>
                </c:pt>
                <c:pt idx="19">
                  <c:v>20.307186997980157</c:v>
                </c:pt>
                <c:pt idx="20">
                  <c:v>20.358041191223499</c:v>
                </c:pt>
                <c:pt idx="21">
                  <c:v>20.408895384466845</c:v>
                </c:pt>
                <c:pt idx="22">
                  <c:v>20.459749577710191</c:v>
                </c:pt>
                <c:pt idx="23">
                  <c:v>20.510603770953537</c:v>
                </c:pt>
                <c:pt idx="24">
                  <c:v>20.561457964196883</c:v>
                </c:pt>
                <c:pt idx="25">
                  <c:v>20.612312157440229</c:v>
                </c:pt>
                <c:pt idx="26">
                  <c:v>20.663166350683575</c:v>
                </c:pt>
                <c:pt idx="27">
                  <c:v>20.714020543926917</c:v>
                </c:pt>
                <c:pt idx="28">
                  <c:v>20.764874737170263</c:v>
                </c:pt>
                <c:pt idx="29">
                  <c:v>20.815728930413609</c:v>
                </c:pt>
                <c:pt idx="30">
                  <c:v>20.866583123656955</c:v>
                </c:pt>
                <c:pt idx="31">
                  <c:v>20.917437316900301</c:v>
                </c:pt>
                <c:pt idx="32">
                  <c:v>20.968291510143647</c:v>
                </c:pt>
                <c:pt idx="33">
                  <c:v>21.019145703386993</c:v>
                </c:pt>
                <c:pt idx="34">
                  <c:v>21.069999896630335</c:v>
                </c:pt>
                <c:pt idx="35">
                  <c:v>21.120854089873681</c:v>
                </c:pt>
                <c:pt idx="36">
                  <c:v>21.171708283117027</c:v>
                </c:pt>
                <c:pt idx="37">
                  <c:v>21.222562476360373</c:v>
                </c:pt>
                <c:pt idx="38">
                  <c:v>21.273416669603719</c:v>
                </c:pt>
                <c:pt idx="39">
                  <c:v>21.324270862847065</c:v>
                </c:pt>
                <c:pt idx="40">
                  <c:v>21.375125056090411</c:v>
                </c:pt>
                <c:pt idx="41">
                  <c:v>21.425979249333754</c:v>
                </c:pt>
                <c:pt idx="42">
                  <c:v>21.476833442577099</c:v>
                </c:pt>
                <c:pt idx="43">
                  <c:v>21.527687635820445</c:v>
                </c:pt>
                <c:pt idx="44">
                  <c:v>21.578541829063791</c:v>
                </c:pt>
                <c:pt idx="45">
                  <c:v>21.629396022307137</c:v>
                </c:pt>
                <c:pt idx="46">
                  <c:v>21.680250215550483</c:v>
                </c:pt>
                <c:pt idx="47">
                  <c:v>21.731104408793826</c:v>
                </c:pt>
                <c:pt idx="48">
                  <c:v>21.781958602037172</c:v>
                </c:pt>
                <c:pt idx="49">
                  <c:v>21.832812795280518</c:v>
                </c:pt>
                <c:pt idx="50">
                  <c:v>21.883666988523863</c:v>
                </c:pt>
                <c:pt idx="51">
                  <c:v>21.934521181767209</c:v>
                </c:pt>
                <c:pt idx="52">
                  <c:v>21.985375375010555</c:v>
                </c:pt>
                <c:pt idx="53">
                  <c:v>22.036229568253901</c:v>
                </c:pt>
                <c:pt idx="54">
                  <c:v>22.087083761497244</c:v>
                </c:pt>
                <c:pt idx="55">
                  <c:v>22.137937954740597</c:v>
                </c:pt>
                <c:pt idx="56">
                  <c:v>22.188792147983936</c:v>
                </c:pt>
                <c:pt idx="57">
                  <c:v>22.239646341227282</c:v>
                </c:pt>
                <c:pt idx="58">
                  <c:v>22.290500534470631</c:v>
                </c:pt>
                <c:pt idx="59">
                  <c:v>22.341354727713977</c:v>
                </c:pt>
                <c:pt idx="60">
                  <c:v>22.392208920957323</c:v>
                </c:pt>
              </c:numCache>
            </c:numRef>
          </c:xVal>
          <c:yVal>
            <c:numRef>
              <c:f>'1F5N'!$AC$11:$AC$71</c:f>
              <c:numCache>
                <c:formatCode>0.00E+00</c:formatCode>
                <c:ptCount val="61"/>
                <c:pt idx="0">
                  <c:v>2.8786730756447231E-7</c:v>
                </c:pt>
                <c:pt idx="1">
                  <c:v>7.7719903056701362E-7</c:v>
                </c:pt>
                <c:pt idx="2">
                  <c:v>2.0300693551878196E-6</c:v>
                </c:pt>
                <c:pt idx="3">
                  <c:v>5.1301282382518639E-6</c:v>
                </c:pt>
                <c:pt idx="4">
                  <c:v>1.2542505152239681E-5</c:v>
                </c:pt>
                <c:pt idx="5">
                  <c:v>2.9667371889060863E-5</c:v>
                </c:pt>
                <c:pt idx="6">
                  <c:v>6.7891059143797476E-5</c:v>
                </c:pt>
                <c:pt idx="7">
                  <c:v>1.5030894035774909E-4</c:v>
                </c:pt>
                <c:pt idx="8">
                  <c:v>3.2195543660463186E-4</c:v>
                </c:pt>
                <c:pt idx="9">
                  <c:v>6.671837097043502E-4</c:v>
                </c:pt>
                <c:pt idx="10">
                  <c:v>1.3376233006566465E-3</c:v>
                </c:pt>
                <c:pt idx="11">
                  <c:v>2.5945433876624867E-3</c:v>
                </c:pt>
                <c:pt idx="12">
                  <c:v>4.8688542130593208E-3</c:v>
                </c:pt>
                <c:pt idx="13">
                  <c:v>8.8395737727639534E-3</c:v>
                </c:pt>
                <c:pt idx="14">
                  <c:v>1.5526536885750661E-2</c:v>
                </c:pt>
                <c:pt idx="15">
                  <c:v>2.6384969402229109E-2</c:v>
                </c:pt>
                <c:pt idx="16">
                  <c:v>4.3378777759642065E-2</c:v>
                </c:pt>
                <c:pt idx="17">
                  <c:v>6.8998039074911796E-2</c:v>
                </c:pt>
                <c:pt idx="18">
                  <c:v>0.10617808937296522</c:v>
                </c:pt>
                <c:pt idx="19">
                  <c:v>0.15807812820632799</c:v>
                </c:pt>
                <c:pt idx="20">
                  <c:v>0.22769179680173565</c:v>
                </c:pt>
                <c:pt idx="21">
                  <c:v>0.31729388664705227</c:v>
                </c:pt>
                <c:pt idx="22">
                  <c:v>0.42777435547777587</c:v>
                </c:pt>
                <c:pt idx="23">
                  <c:v>0.5579644219694424</c:v>
                </c:pt>
                <c:pt idx="24">
                  <c:v>0.70410428953325777</c:v>
                </c:pt>
                <c:pt idx="25">
                  <c:v>0.8596193711636686</c:v>
                </c:pt>
                <c:pt idx="26">
                  <c:v>1.0153461299443169</c:v>
                </c:pt>
                <c:pt idx="27">
                  <c:v>1.1602745406998836</c:v>
                </c:pt>
                <c:pt idx="28">
                  <c:v>1.2827621257985662</c:v>
                </c:pt>
                <c:pt idx="29">
                  <c:v>1.372050875638533</c:v>
                </c:pt>
                <c:pt idx="30">
                  <c:v>1.4198191279115291</c:v>
                </c:pt>
                <c:pt idx="31">
                  <c:v>1.4214596983050665</c:v>
                </c:pt>
                <c:pt idx="32">
                  <c:v>1.3768124989793422</c:v>
                </c:pt>
                <c:pt idx="33">
                  <c:v>1.2901902920583368</c:v>
                </c:pt>
                <c:pt idx="34">
                  <c:v>1.1696918404244476</c:v>
                </c:pt>
                <c:pt idx="35">
                  <c:v>1.0259539591287543</c:v>
                </c:pt>
                <c:pt idx="36">
                  <c:v>0.87060870237009091</c:v>
                </c:pt>
                <c:pt idx="37">
                  <c:v>0.71475443189293764</c:v>
                </c:pt>
                <c:pt idx="38">
                  <c:v>0.56771377320260175</c:v>
                </c:pt>
                <c:pt idx="39">
                  <c:v>0.43625530912995369</c:v>
                </c:pt>
                <c:pt idx="40">
                  <c:v>0.32433270234703215</c:v>
                </c:pt>
                <c:pt idx="41">
                  <c:v>0.2332810582666863</c:v>
                </c:pt>
                <c:pt idx="42">
                  <c:v>0.16233304449280314</c:v>
                </c:pt>
                <c:pt idx="43">
                  <c:v>0.10928815933551052</c:v>
                </c:pt>
                <c:pt idx="44">
                  <c:v>7.1183282359658401E-2</c:v>
                </c:pt>
                <c:pt idx="45">
                  <c:v>4.4856112198309518E-2</c:v>
                </c:pt>
                <c:pt idx="46">
                  <c:v>2.734663975090941E-2</c:v>
                </c:pt>
                <c:pt idx="47">
                  <c:v>1.6129653223504844E-2</c:v>
                </c:pt>
                <c:pt idx="48">
                  <c:v>9.2041738304663515E-3</c:v>
                </c:pt>
                <c:pt idx="49">
                  <c:v>5.0813991979382009E-3</c:v>
                </c:pt>
                <c:pt idx="50">
                  <c:v>2.7140668342543143E-3</c:v>
                </c:pt>
                <c:pt idx="51">
                  <c:v>1.4024793715310688E-3</c:v>
                </c:pt>
                <c:pt idx="52">
                  <c:v>7.011503368667026E-4</c:v>
                </c:pt>
                <c:pt idx="53">
                  <c:v>3.391286903499634E-4</c:v>
                </c:pt>
                <c:pt idx="54">
                  <c:v>1.5869258669671667E-4</c:v>
                </c:pt>
                <c:pt idx="55">
                  <c:v>7.1843497486685361E-5</c:v>
                </c:pt>
                <c:pt idx="56">
                  <c:v>3.1467121323891568E-5</c:v>
                </c:pt>
                <c:pt idx="57">
                  <c:v>1.3334148376939173E-5</c:v>
                </c:pt>
                <c:pt idx="58">
                  <c:v>5.4665367631983359E-6</c:v>
                </c:pt>
                <c:pt idx="59">
                  <c:v>2.1681932278392567E-6</c:v>
                </c:pt>
                <c:pt idx="60">
                  <c:v>8.3199825394357242E-7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F80-46FE-ADC7-99FFA87D8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375168"/>
        <c:axId val="373377888"/>
      </c:scatterChart>
      <c:valAx>
        <c:axId val="37337516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3377888"/>
        <c:crosses val="autoZero"/>
        <c:crossBetween val="midCat"/>
      </c:valAx>
      <c:valAx>
        <c:axId val="37337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337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Equivalence%</a:t>
            </a:r>
            <a:r>
              <a:rPr lang="en-US" baseline="0"/>
              <a:t> entre les niveaux d'un facteur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'1F5N'!$C$39:$C$40</c:f>
              <c:strCache>
                <c:ptCount val="2"/>
                <c:pt idx="0">
                  <c:v>opérateur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'1F5N'!$C$39:$C$40</c:f>
              <c:strCache>
                <c:ptCount val="1"/>
                <c:pt idx="0">
                  <c:v>opérateur</c:v>
                </c:pt>
              </c:strCache>
            </c:strRef>
          </c:cat>
          <c:val>
            <c:numRef>
              <c:f>'1F5N'!$M$39</c:f>
              <c:numCache>
                <c:formatCode>0%</c:formatCode>
                <c:ptCount val="1"/>
                <c:pt idx="0">
                  <c:v>0.12253354692452967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9A-4898-BD5E-8A93DDE6C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3376800"/>
        <c:axId val="373384960"/>
      </c:barChart>
      <c:catAx>
        <c:axId val="37337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3384960"/>
        <c:crosses val="autoZero"/>
        <c:auto val="1"/>
        <c:lblAlgn val="ctr"/>
        <c:lblOffset val="100"/>
        <c:noMultiLvlLbl val="0"/>
      </c:catAx>
      <c:valAx>
        <c:axId val="37338496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337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Contribution% des étapes à la dispersion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'BCH - GRR destructif'!$C$56:$C$58</c:f>
              <c:strCache>
                <c:ptCount val="3"/>
                <c:pt idx="0">
                  <c:v>lot</c:v>
                </c:pt>
                <c:pt idx="1">
                  <c:v>opérateur</c:v>
                </c:pt>
                <c:pt idx="2">
                  <c:v>Piece(lot*op)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'BCH - GRR destructif'!$C$56:$C$58</c:f>
              <c:strCache>
                <c:ptCount val="3"/>
                <c:pt idx="0">
                  <c:v>lot</c:v>
                </c:pt>
                <c:pt idx="1">
                  <c:v>opérateur</c:v>
                </c:pt>
                <c:pt idx="2">
                  <c:v>Piece(lot*op)</c:v>
                </c:pt>
              </c:strCache>
            </c:strRef>
          </c:cat>
          <c:val>
            <c:numRef>
              <c:f>'BCH - GRR destructif'!$J$56:$J$58</c:f>
              <c:numCache>
                <c:formatCode>0.0%</c:formatCode>
                <c:ptCount val="3"/>
                <c:pt idx="0">
                  <c:v>2.6106661916650661E-2</c:v>
                </c:pt>
                <c:pt idx="1">
                  <c:v>0.10476838075976777</c:v>
                </c:pt>
                <c:pt idx="2">
                  <c:v>0.20013411774512324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85-4CDE-815D-05FA22DA3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00519184"/>
        <c:axId val="400524080"/>
      </c:barChart>
      <c:catAx>
        <c:axId val="40051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0524080"/>
        <c:crosses val="autoZero"/>
        <c:auto val="1"/>
        <c:lblAlgn val="ctr"/>
        <c:lblOffset val="100"/>
        <c:noMultiLvlLbl val="0"/>
      </c:catAx>
      <c:valAx>
        <c:axId val="40052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051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'BCH - GRR destructif'!$U$33:$U$93</c:f>
              <c:numCache>
                <c:formatCode>0.00</c:formatCode>
                <c:ptCount val="61"/>
                <c:pt idx="0">
                  <c:v>0.72104411965079152</c:v>
                </c:pt>
                <c:pt idx="1">
                  <c:v>0.74839851499699772</c:v>
                </c:pt>
                <c:pt idx="2">
                  <c:v>0.77575291034320393</c:v>
                </c:pt>
                <c:pt idx="3">
                  <c:v>0.80310730568940991</c:v>
                </c:pt>
                <c:pt idx="4">
                  <c:v>0.83046170103561612</c:v>
                </c:pt>
                <c:pt idx="5">
                  <c:v>0.85781609638182232</c:v>
                </c:pt>
                <c:pt idx="6">
                  <c:v>0.88517049172802842</c:v>
                </c:pt>
                <c:pt idx="7">
                  <c:v>0.91252488707423463</c:v>
                </c:pt>
                <c:pt idx="8">
                  <c:v>0.93987928242044072</c:v>
                </c:pt>
                <c:pt idx="9">
                  <c:v>0.96723367776664682</c:v>
                </c:pt>
                <c:pt idx="10">
                  <c:v>0.99458807311285302</c:v>
                </c:pt>
                <c:pt idx="11">
                  <c:v>1.0219424684590592</c:v>
                </c:pt>
                <c:pt idx="12">
                  <c:v>1.0492968638052653</c:v>
                </c:pt>
                <c:pt idx="13">
                  <c:v>1.0766512591514714</c:v>
                </c:pt>
                <c:pt idx="14">
                  <c:v>1.1040056544976775</c:v>
                </c:pt>
                <c:pt idx="15">
                  <c:v>1.1313600498438836</c:v>
                </c:pt>
                <c:pt idx="16">
                  <c:v>1.1587144451900899</c:v>
                </c:pt>
                <c:pt idx="17">
                  <c:v>1.186068840536296</c:v>
                </c:pt>
                <c:pt idx="18">
                  <c:v>1.2134232358825021</c:v>
                </c:pt>
                <c:pt idx="19">
                  <c:v>1.2407776312287084</c:v>
                </c:pt>
                <c:pt idx="20">
                  <c:v>1.2681320265749145</c:v>
                </c:pt>
                <c:pt idx="21">
                  <c:v>1.2954864219211206</c:v>
                </c:pt>
                <c:pt idx="22">
                  <c:v>1.3228408172673267</c:v>
                </c:pt>
                <c:pt idx="23">
                  <c:v>1.3501952126135328</c:v>
                </c:pt>
                <c:pt idx="24">
                  <c:v>1.3775496079597391</c:v>
                </c:pt>
                <c:pt idx="25">
                  <c:v>1.4049040033059452</c:v>
                </c:pt>
                <c:pt idx="26">
                  <c:v>1.4322583986521513</c:v>
                </c:pt>
                <c:pt idx="27">
                  <c:v>1.4596127939983574</c:v>
                </c:pt>
                <c:pt idx="28">
                  <c:v>1.4869671893445637</c:v>
                </c:pt>
                <c:pt idx="29">
                  <c:v>1.5143215846907698</c:v>
                </c:pt>
                <c:pt idx="30">
                  <c:v>1.5416759800369759</c:v>
                </c:pt>
                <c:pt idx="31">
                  <c:v>1.569030375383182</c:v>
                </c:pt>
                <c:pt idx="32">
                  <c:v>1.5963847707293881</c:v>
                </c:pt>
                <c:pt idx="33">
                  <c:v>1.6237391660755944</c:v>
                </c:pt>
                <c:pt idx="34">
                  <c:v>1.6510935614218005</c:v>
                </c:pt>
                <c:pt idx="35">
                  <c:v>1.6784479567680066</c:v>
                </c:pt>
                <c:pt idx="36">
                  <c:v>1.7058023521142127</c:v>
                </c:pt>
                <c:pt idx="37">
                  <c:v>1.733156747460419</c:v>
                </c:pt>
                <c:pt idx="38">
                  <c:v>1.7605111428066251</c:v>
                </c:pt>
                <c:pt idx="39">
                  <c:v>1.7878655381528312</c:v>
                </c:pt>
                <c:pt idx="40">
                  <c:v>1.8152199334990373</c:v>
                </c:pt>
                <c:pt idx="41">
                  <c:v>1.8425743288452434</c:v>
                </c:pt>
                <c:pt idx="42">
                  <c:v>1.8699287241914497</c:v>
                </c:pt>
                <c:pt idx="43">
                  <c:v>1.8972831195376558</c:v>
                </c:pt>
                <c:pt idx="44">
                  <c:v>1.9246375148838619</c:v>
                </c:pt>
                <c:pt idx="45">
                  <c:v>1.9519919102300682</c:v>
                </c:pt>
                <c:pt idx="46">
                  <c:v>1.9793463055762743</c:v>
                </c:pt>
                <c:pt idx="47">
                  <c:v>2.0067007009224804</c:v>
                </c:pt>
                <c:pt idx="48">
                  <c:v>2.0340550962686867</c:v>
                </c:pt>
                <c:pt idx="49">
                  <c:v>2.0614094916148926</c:v>
                </c:pt>
                <c:pt idx="50">
                  <c:v>2.0887638869610989</c:v>
                </c:pt>
                <c:pt idx="51">
                  <c:v>2.1161182823073048</c:v>
                </c:pt>
                <c:pt idx="52">
                  <c:v>2.1434726776535111</c:v>
                </c:pt>
                <c:pt idx="53">
                  <c:v>2.1708270729997174</c:v>
                </c:pt>
                <c:pt idx="54">
                  <c:v>2.1981814683459233</c:v>
                </c:pt>
                <c:pt idx="55">
                  <c:v>2.2255358636921323</c:v>
                </c:pt>
                <c:pt idx="56">
                  <c:v>2.2528902590383355</c:v>
                </c:pt>
                <c:pt idx="57">
                  <c:v>2.2802446543845418</c:v>
                </c:pt>
                <c:pt idx="58">
                  <c:v>2.3075990497307508</c:v>
                </c:pt>
                <c:pt idx="59">
                  <c:v>2.3349534450769571</c:v>
                </c:pt>
                <c:pt idx="60">
                  <c:v>2.362307840423163</c:v>
                </c:pt>
              </c:numCache>
            </c:numRef>
          </c:xVal>
          <c:yVal>
            <c:numRef>
              <c:f>'BCH - GRR destructif'!$V$33:$V$93</c:f>
              <c:numCache>
                <c:formatCode>0.00E+00</c:formatCode>
                <c:ptCount val="61"/>
                <c:pt idx="0">
                  <c:v>1.6201595231212715E-2</c:v>
                </c:pt>
                <c:pt idx="1">
                  <c:v>2.1760789607807675E-2</c:v>
                </c:pt>
                <c:pt idx="2">
                  <c:v>2.8936671722403044E-2</c:v>
                </c:pt>
                <c:pt idx="3">
                  <c:v>3.8096015951118063E-2</c:v>
                </c:pt>
                <c:pt idx="4">
                  <c:v>4.9655527244434131E-2</c:v>
                </c:pt>
                <c:pt idx="5">
                  <c:v>6.4078552173150435E-2</c:v>
                </c:pt>
                <c:pt idx="6">
                  <c:v>8.1868123975728305E-2</c:v>
                </c:pt>
                <c:pt idx="7">
                  <c:v>0.10355570789661026</c:v>
                </c:pt>
                <c:pt idx="8">
                  <c:v>0.12968516539025415</c:v>
                </c:pt>
                <c:pt idx="9">
                  <c:v>0.16079169516911804</c:v>
                </c:pt>
                <c:pt idx="10">
                  <c:v>0.19737583605801109</c:v>
                </c:pt>
                <c:pt idx="11">
                  <c:v>0.23987302202889693</c:v>
                </c:pt>
                <c:pt idx="12">
                  <c:v>0.2886196433943255</c:v>
                </c:pt>
                <c:pt idx="13">
                  <c:v>0.34381705823349823</c:v>
                </c:pt>
                <c:pt idx="14">
                  <c:v>0.40549547257618118</c:v>
                </c:pt>
                <c:pt idx="15">
                  <c:v>0.4734800167456627</c:v>
                </c:pt>
                <c:pt idx="16">
                  <c:v>0.54736163508915203</c:v>
                </c:pt>
                <c:pt idx="17">
                  <c:v>0.62647552570221554</c:v>
                </c:pt>
                <c:pt idx="18">
                  <c:v>0.70988977283369237</c:v>
                </c:pt>
                <c:pt idx="19">
                  <c:v>0.79640647974609724</c:v>
                </c:pt>
                <c:pt idx="20">
                  <c:v>0.88457712721002613</c:v>
                </c:pt>
                <c:pt idx="21">
                  <c:v>0.97273307097851425</c:v>
                </c:pt>
                <c:pt idx="22">
                  <c:v>1.0590310957162532</c:v>
                </c:pt>
                <c:pt idx="23">
                  <c:v>1.1415128333665343</c:v>
                </c:pt>
                <c:pt idx="24">
                  <c:v>1.2181757215774669</c:v>
                </c:pt>
                <c:pt idx="25">
                  <c:v>1.2870521256582206</c:v>
                </c:pt>
                <c:pt idx="26">
                  <c:v>1.3462923805932334</c:v>
                </c:pt>
                <c:pt idx="27">
                  <c:v>1.3942469231491157</c:v>
                </c:pt>
                <c:pt idx="28">
                  <c:v>1.42954245204945</c:v>
                </c:pt>
                <c:pt idx="29">
                  <c:v>1.4511472194981865</c:v>
                </c:pt>
                <c:pt idx="30">
                  <c:v>1.4584211252059829</c:v>
                </c:pt>
                <c:pt idx="31">
                  <c:v>1.4511472194981865</c:v>
                </c:pt>
                <c:pt idx="32">
                  <c:v>1.42954245204945</c:v>
                </c:pt>
                <c:pt idx="33">
                  <c:v>1.3942469231491157</c:v>
                </c:pt>
                <c:pt idx="34">
                  <c:v>1.3462923805932334</c:v>
                </c:pt>
                <c:pt idx="35">
                  <c:v>1.2870521256582206</c:v>
                </c:pt>
                <c:pt idx="36">
                  <c:v>1.2181757215774669</c:v>
                </c:pt>
                <c:pt idx="37">
                  <c:v>1.1415128333665343</c:v>
                </c:pt>
                <c:pt idx="38">
                  <c:v>1.0590310957162532</c:v>
                </c:pt>
                <c:pt idx="39">
                  <c:v>0.97273307097851425</c:v>
                </c:pt>
                <c:pt idx="40">
                  <c:v>0.88457712721002613</c:v>
                </c:pt>
                <c:pt idx="41">
                  <c:v>0.79640647974609724</c:v>
                </c:pt>
                <c:pt idx="42">
                  <c:v>0.70988977283369237</c:v>
                </c:pt>
                <c:pt idx="43">
                  <c:v>0.62647552570221554</c:v>
                </c:pt>
                <c:pt idx="44">
                  <c:v>0.54736163508915203</c:v>
                </c:pt>
                <c:pt idx="45">
                  <c:v>0.4734800167456627</c:v>
                </c:pt>
                <c:pt idx="46">
                  <c:v>0.40549547257618118</c:v>
                </c:pt>
                <c:pt idx="47">
                  <c:v>0.34381705823349823</c:v>
                </c:pt>
                <c:pt idx="48">
                  <c:v>0.28861964339432522</c:v>
                </c:pt>
                <c:pt idx="49">
                  <c:v>0.23987302202889693</c:v>
                </c:pt>
                <c:pt idx="50">
                  <c:v>0.1973758360580109</c:v>
                </c:pt>
                <c:pt idx="51">
                  <c:v>0.16079169516911831</c:v>
                </c:pt>
                <c:pt idx="52">
                  <c:v>0.12968516539025415</c:v>
                </c:pt>
                <c:pt idx="53">
                  <c:v>0.10355570789661002</c:v>
                </c:pt>
                <c:pt idx="54">
                  <c:v>8.1868123975728416E-2</c:v>
                </c:pt>
                <c:pt idx="55">
                  <c:v>6.407855217314877E-2</c:v>
                </c:pt>
                <c:pt idx="56">
                  <c:v>4.9655527244434242E-2</c:v>
                </c:pt>
                <c:pt idx="57">
                  <c:v>3.8096015951118112E-2</c:v>
                </c:pt>
                <c:pt idx="58">
                  <c:v>2.8936671722402184E-2</c:v>
                </c:pt>
                <c:pt idx="59">
                  <c:v>2.1760789607806981E-2</c:v>
                </c:pt>
                <c:pt idx="60">
                  <c:v>1.6201595231212243E-2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C2-4301-BA27-96AA13A6DCB7}"/>
            </c:ext>
          </c:extLst>
        </c:ser>
        <c:ser>
          <c:idx val="1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54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13C2-4301-BA27-96AA13A6DCB7}"/>
              </c:ext>
            </c:extLst>
          </c:dPt>
          <c:xVal>
            <c:numRef>
              <c:f>'BCH - GRR destructif'!$M$4:$P$4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0E+00">
                  <c:v>0</c:v>
                </c:pt>
              </c:numCache>
            </c:numRef>
          </c:xVal>
          <c:yVal>
            <c:numRef>
              <c:f>'BCH - GRR destructif'!$Q$4:$R$4</c:f>
              <c:numCache>
                <c:formatCode>0.00E+00</c:formatCode>
                <c:ptCount val="2"/>
                <c:pt idx="0" formatCode="General">
                  <c:v>0</c:v>
                </c:pt>
                <c:pt idx="1">
                  <c:v>1.4584211252059829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3C2-4301-BA27-96AA13A6DCB7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3C2-4301-BA27-96AA13A6DCB7}"/>
              </c:ext>
            </c:extLst>
          </c:dPt>
          <c:xVal>
            <c:numRef>
              <c:f>'BCH - GRR destructif'!$M$5:$P$5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0</c:v>
                </c:pt>
                <c:pt idx="3" formatCode="0.00E+00">
                  <c:v>0</c:v>
                </c:pt>
              </c:numCache>
            </c:numRef>
          </c:xVal>
          <c:yVal>
            <c:numRef>
              <c:f>'BCH - GRR destructif'!$Q$5:$R$5</c:f>
              <c:numCache>
                <c:formatCode>0.00E+00</c:formatCode>
                <c:ptCount val="2"/>
                <c:pt idx="0" formatCode="General">
                  <c:v>0</c:v>
                </c:pt>
                <c:pt idx="1">
                  <c:v>1.4584211252059829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3C2-4301-BA27-96AA13A6D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937344"/>
        <c:axId val="584938432"/>
      </c:scatterChart>
      <c:valAx>
        <c:axId val="58493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4938432"/>
        <c:crosses val="autoZero"/>
        <c:crossBetween val="midCat"/>
      </c:valAx>
      <c:valAx>
        <c:axId val="584938432"/>
        <c:scaling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4937344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40193442482108E-2"/>
          <c:y val="0.2015711439003699"/>
          <c:w val="0.90548897042105458"/>
          <c:h val="0.68152632209640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'Plan hierarchisé'!$L$9:$L$12</c:f>
              <c:strCache>
                <c:ptCount val="4"/>
                <c:pt idx="0">
                  <c:v>résiduel</c:v>
                </c:pt>
                <c:pt idx="1">
                  <c:v>A</c:v>
                </c:pt>
                <c:pt idx="2">
                  <c:v>B/A</c:v>
                </c:pt>
                <c:pt idx="3">
                  <c:v>C/B/A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'Plan hierarchisé'!$L$9:$L$12</c:f>
              <c:strCache>
                <c:ptCount val="4"/>
                <c:pt idx="0">
                  <c:v>résiduel</c:v>
                </c:pt>
                <c:pt idx="1">
                  <c:v>A</c:v>
                </c:pt>
                <c:pt idx="2">
                  <c:v>B/A</c:v>
                </c:pt>
                <c:pt idx="3">
                  <c:v>C/B/A</c:v>
                </c:pt>
              </c:strCache>
            </c:strRef>
          </c:cat>
          <c:val>
            <c:numRef>
              <c:f>'Plan hierarchisé'!$U$9:$U$12</c:f>
              <c:numCache>
                <c:formatCode>0%</c:formatCode>
                <c:ptCount val="4"/>
                <c:pt idx="0">
                  <c:v>9.2615015288192541E-3</c:v>
                </c:pt>
                <c:pt idx="1">
                  <c:v>5.1452852590095507E-2</c:v>
                </c:pt>
                <c:pt idx="2">
                  <c:v>0.73119998611238957</c:v>
                </c:pt>
                <c:pt idx="3">
                  <c:v>0.20808565976869567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BA-43AF-A2DC-DCBFF8A1A6A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96466207"/>
        <c:axId val="1296459487"/>
      </c:barChart>
      <c:catAx>
        <c:axId val="129646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6459487"/>
        <c:crosses val="autoZero"/>
        <c:auto val="1"/>
        <c:lblAlgn val="ctr"/>
        <c:lblOffset val="100"/>
        <c:noMultiLvlLbl val="0"/>
      </c:catAx>
      <c:valAx>
        <c:axId val="12964594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96466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874999999999998"/>
          <c:y val="2.8619528619528625E-2"/>
          <c:w val="0.85625000000000007"/>
          <c:h val="0.91919191919191923"/>
        </c:manualLayout>
      </c:layout>
      <c:scatterChart>
        <c:scatterStyle val="lineMarker"/>
        <c:varyColors val="0"/>
        <c:ser>
          <c:idx val="0"/>
          <c:order val="0"/>
          <c:tx>
            <c:strRef>
              <c:f>Récapitulatif!$B$17</c:f>
              <c:strCache>
                <c:ptCount val="1"/>
                <c:pt idx="0">
                  <c:v>Recouvrement (justesse)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Récapitulatif!$C$17:$G$17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27-470D-BB44-1B5E2D2BEA33}"/>
            </c:ext>
          </c:extLst>
        </c:ser>
        <c:ser>
          <c:idx val="1"/>
          <c:order val="1"/>
          <c:tx>
            <c:strRef>
              <c:f>Récapitulatif!$B$18</c:f>
              <c:strCache>
                <c:ptCount val="1"/>
                <c:pt idx="0">
                  <c:v>Limite basse tolérance (%)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Récapitulatif!$C$18:$G$18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27-470D-BB44-1B5E2D2BEA33}"/>
            </c:ext>
          </c:extLst>
        </c:ser>
        <c:ser>
          <c:idx val="2"/>
          <c:order val="2"/>
          <c:tx>
            <c:strRef>
              <c:f>Récapitulatif!$B$19</c:f>
              <c:strCache>
                <c:ptCount val="1"/>
                <c:pt idx="0">
                  <c:v>Limite haute tolérance (%)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Récapitulatif!$C$19:$G$19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27-470D-BB44-1B5E2D2BEA33}"/>
            </c:ext>
          </c:extLst>
        </c:ser>
        <c:ser>
          <c:idx val="3"/>
          <c:order val="3"/>
          <c:tx>
            <c:strRef>
              <c:f>Récapitulatif!$B$20</c:f>
              <c:strCache>
                <c:ptCount val="1"/>
                <c:pt idx="0">
                  <c:v>Limite d'acceptabilité basse</c:v>
                </c:pt>
              </c:strCache>
            </c:strRef>
          </c:tx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Récapitulatif!$C$20:$G$20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27-470D-BB44-1B5E2D2BEA33}"/>
            </c:ext>
          </c:extLst>
        </c:ser>
        <c:ser>
          <c:idx val="4"/>
          <c:order val="4"/>
          <c:tx>
            <c:strRef>
              <c:f>Récapitulatif!$B$21</c:f>
              <c:strCache>
                <c:ptCount val="1"/>
                <c:pt idx="0">
                  <c:v>Limite d'acceptabilité haute</c:v>
                </c:pt>
              </c:strCache>
            </c:strRef>
          </c:tx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Récapitulatif!$C$21:$G$21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327-470D-BB44-1B5E2D2BE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255248"/>
        <c:axId val="692251984"/>
      </c:scatterChart>
      <c:valAx>
        <c:axId val="692255248"/>
        <c:scaling>
          <c:orientation val="minMax"/>
          <c:min val="70"/>
        </c:scaling>
        <c:delete val="0"/>
        <c:axPos val="b"/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fr-FR"/>
                  <a:t>Niveaux</a:t>
                </a:r>
              </a:p>
            </c:rich>
          </c:tx>
          <c:layout>
            <c:manualLayout>
              <c:xMode val="edge"/>
              <c:yMode val="edge"/>
              <c:x val="0.86875000000000013"/>
              <c:y val="0.9225589225589226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fr-FR"/>
          </a:p>
        </c:txPr>
        <c:crossAx val="692251984"/>
        <c:crossesAt val="1"/>
        <c:crossBetween val="midCat"/>
      </c:valAx>
      <c:valAx>
        <c:axId val="692251984"/>
        <c:scaling>
          <c:orientation val="minMax"/>
          <c:max val="1.2"/>
          <c:min val="0.8"/>
        </c:scaling>
        <c:delete val="0"/>
        <c:axPos val="l"/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fr-FR"/>
                  <a:t>Exactitude (%)</a:t>
                </a:r>
              </a:p>
            </c:rich>
          </c:tx>
          <c:layout>
            <c:manualLayout>
              <c:xMode val="edge"/>
              <c:yMode val="edge"/>
              <c:x val="0"/>
              <c:y val="0.3265559953571967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fr-FR"/>
          </a:p>
        </c:txPr>
        <c:crossAx val="69225524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249218583788484"/>
          <c:y val="0.74578482160133208"/>
          <c:w val="0.61770833333333341"/>
          <c:h val="0.1245791245791246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>
    <tabColor theme="4" tint="0.59999389629810485"/>
  </sheetPr>
  <sheetViews>
    <sheetView zoomScale="55" workbookViewId="0"/>
  </sheetViews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403412</xdr:colOff>
      <xdr:row>38</xdr:row>
      <xdr:rowOff>57727</xdr:rowOff>
    </xdr:from>
    <xdr:to>
      <xdr:col>17</xdr:col>
      <xdr:colOff>593911</xdr:colOff>
      <xdr:row>53</xdr:row>
      <xdr:rowOff>136237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80820</xdr:colOff>
      <xdr:row>38</xdr:row>
      <xdr:rowOff>71646</xdr:rowOff>
    </xdr:from>
    <xdr:to>
      <xdr:col>9</xdr:col>
      <xdr:colOff>313765</xdr:colOff>
      <xdr:row>53</xdr:row>
      <xdr:rowOff>150091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536863</xdr:colOff>
      <xdr:row>69</xdr:row>
      <xdr:rowOff>103908</xdr:rowOff>
    </xdr:from>
    <xdr:to>
      <xdr:col>16</xdr:col>
      <xdr:colOff>684283</xdr:colOff>
      <xdr:row>83</xdr:row>
      <xdr:rowOff>34636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1557E9B9-9EE0-93E7-DBE0-F0E63130F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0545" y="13525499"/>
          <a:ext cx="11212720" cy="25977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748393</xdr:colOff>
      <xdr:row>16</xdr:row>
      <xdr:rowOff>46182</xdr:rowOff>
    </xdr:from>
    <xdr:to>
      <xdr:col>14</xdr:col>
      <xdr:colOff>217714</xdr:colOff>
      <xdr:row>31</xdr:row>
      <xdr:rowOff>124692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2F914CC-C6BC-42BF-97B2-6E47C96C61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46184</xdr:colOff>
      <xdr:row>16</xdr:row>
      <xdr:rowOff>48556</xdr:rowOff>
    </xdr:from>
    <xdr:to>
      <xdr:col>9</xdr:col>
      <xdr:colOff>721178</xdr:colOff>
      <xdr:row>31</xdr:row>
      <xdr:rowOff>127001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91A426B-91A6-4C7D-84A8-F00028D422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244929</xdr:colOff>
      <xdr:row>16</xdr:row>
      <xdr:rowOff>34638</xdr:rowOff>
    </xdr:from>
    <xdr:to>
      <xdr:col>17</xdr:col>
      <xdr:colOff>1143001</xdr:colOff>
      <xdr:row>31</xdr:row>
      <xdr:rowOff>103911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A5049869-D7F4-4F2E-AD04-39D16AD542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369795</xdr:colOff>
      <xdr:row>33</xdr:row>
      <xdr:rowOff>45844</xdr:rowOff>
    </xdr:from>
    <xdr:to>
      <xdr:col>13</xdr:col>
      <xdr:colOff>616324</xdr:colOff>
      <xdr:row>48</xdr:row>
      <xdr:rowOff>124354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C68738F-578C-4E79-A7B6-28A711EEBE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79802</xdr:colOff>
      <xdr:row>33</xdr:row>
      <xdr:rowOff>48555</xdr:rowOff>
    </xdr:from>
    <xdr:to>
      <xdr:col>7</xdr:col>
      <xdr:colOff>324971</xdr:colOff>
      <xdr:row>48</xdr:row>
      <xdr:rowOff>127000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20494E3-D262-4550-8054-5ACA6251A4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437029</xdr:colOff>
      <xdr:row>15</xdr:row>
      <xdr:rowOff>134471</xdr:rowOff>
    </xdr:from>
    <xdr:to>
      <xdr:col>21</xdr:col>
      <xdr:colOff>352985</xdr:colOff>
      <xdr:row>31</xdr:row>
      <xdr:rowOff>66114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A374108-CA92-414B-8725-4278054565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0.33434</cdr:x>
      <cdr:y>0.02223</cdr:y>
    </cdr:from>
    <cdr:to>
      <cdr:x>0.61229</cdr:x>
      <cdr:y>0.18675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96A46ABB-8EFE-FB93-B665-4FE254DEA48F}"/>
            </a:ext>
          </a:extLst>
        </cdr:cNvPr>
        <cdr:cNvSpPr txBox="1"/>
      </cdr:nvSpPr>
      <cdr:spPr>
        <a:xfrm xmlns:a="http://schemas.openxmlformats.org/drawingml/2006/main">
          <a:off x="1860176" y="56029"/>
          <a:ext cx="1546412" cy="4146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fr-FR" sz="1800" b="1"/>
            <a:t>Contribution % 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9525</xdr:rowOff>
    </xdr:from>
    <xdr:to>
      <xdr:col>7</xdr:col>
      <xdr:colOff>0</xdr:colOff>
      <xdr:row>25</xdr:row>
      <xdr:rowOff>47625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260725"/>
          <a:ext cx="7400925" cy="4762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Les données qui servent à construire le graphique du profil sont en bleu. </a:t>
          </a:r>
        </a:p>
        <a:p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Il convient de modifier le graphique en fonction du nombre de niveaux en sélectionnant la zone correcte de données par la commande &lt;Données du graphique…&gt;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155545" cy="564572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ssier%20personnel-confidentiel-priv&#233;\Excel\MAQUETTE%20validation%20biologie%20m&#233;dicale%20V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portée flexible"/>
      <sheetName val="validation de méthode"/>
      <sheetName val="Justesse et fidélité"/>
      <sheetName val="correlation XY"/>
      <sheetName val="étalonnage X"/>
    </sheetNames>
    <sheetDataSet>
      <sheetData sheetId="0" refreshError="1"/>
      <sheetData sheetId="1" refreshError="1"/>
      <sheetData sheetId="2">
        <row r="6">
          <cell r="AD6" t="str">
            <v>SUBSTRATS</v>
          </cell>
        </row>
        <row r="7">
          <cell r="AD7" t="str">
            <v>Acide urique</v>
          </cell>
        </row>
        <row r="8">
          <cell r="AD8" t="str">
            <v>Ammonium</v>
          </cell>
        </row>
        <row r="9">
          <cell r="AD9" t="str">
            <v>CO2</v>
          </cell>
        </row>
        <row r="10">
          <cell r="AD10" t="str">
            <v>Bilirubine Totale</v>
          </cell>
        </row>
        <row r="11">
          <cell r="AD11" t="str">
            <v>Calcium ionisé</v>
          </cell>
        </row>
        <row r="12">
          <cell r="AD12" t="str">
            <v>Calcium total</v>
          </cell>
        </row>
        <row r="13">
          <cell r="AD13" t="str">
            <v>Chlore</v>
          </cell>
        </row>
        <row r="14">
          <cell r="AD14" t="str">
            <v>Cholesterol</v>
          </cell>
        </row>
        <row r="15">
          <cell r="AD15" t="str">
            <v>HDL</v>
          </cell>
        </row>
        <row r="16">
          <cell r="AD16" t="str">
            <v>Creatinine</v>
          </cell>
        </row>
        <row r="17">
          <cell r="AD17" t="str">
            <v>Fer</v>
          </cell>
        </row>
        <row r="18">
          <cell r="AD18" t="str">
            <v>Ferritine</v>
          </cell>
        </row>
        <row r="19">
          <cell r="AD19" t="str">
            <v>Folates</v>
          </cell>
        </row>
        <row r="20">
          <cell r="AD20" t="str">
            <v>Fructosamine</v>
          </cell>
        </row>
        <row r="21">
          <cell r="AD21" t="str">
            <v>Glucose</v>
          </cell>
        </row>
        <row r="22">
          <cell r="AD22" t="str">
            <v>HbA1c</v>
          </cell>
        </row>
        <row r="23">
          <cell r="AD23" t="str">
            <v>Lactate</v>
          </cell>
        </row>
        <row r="24">
          <cell r="AD24" t="str">
            <v>Magnesium</v>
          </cell>
        </row>
        <row r="25">
          <cell r="AD25" t="str">
            <v>Phosphate</v>
          </cell>
        </row>
        <row r="26">
          <cell r="AD26" t="str">
            <v>Potassium</v>
          </cell>
        </row>
        <row r="27">
          <cell r="AD27" t="str">
            <v>Protéines totales</v>
          </cell>
        </row>
        <row r="28">
          <cell r="AD28" t="str">
            <v>Sodium</v>
          </cell>
        </row>
        <row r="29">
          <cell r="AD29" t="str">
            <v>Triglycérides</v>
          </cell>
        </row>
        <row r="30">
          <cell r="AD30" t="str">
            <v>Urée</v>
          </cell>
        </row>
        <row r="32">
          <cell r="AD32" t="str">
            <v>SUBSTRATS URINAIRES</v>
          </cell>
        </row>
        <row r="33">
          <cell r="AD33" t="str">
            <v>Acide urique U</v>
          </cell>
        </row>
        <row r="34">
          <cell r="AD34" t="str">
            <v>Calcium U</v>
          </cell>
        </row>
        <row r="35">
          <cell r="AD35" t="str">
            <v>Chlore U</v>
          </cell>
        </row>
        <row r="36">
          <cell r="AD36" t="str">
            <v>Créatinine U</v>
          </cell>
        </row>
        <row r="37">
          <cell r="AD37" t="str">
            <v>Glucose U</v>
          </cell>
        </row>
        <row r="38">
          <cell r="AD38" t="str">
            <v>Magnesium U</v>
          </cell>
        </row>
        <row r="39">
          <cell r="AD39" t="str">
            <v>MicroAlb U</v>
          </cell>
        </row>
        <row r="40">
          <cell r="AD40" t="str">
            <v>Phosphate U</v>
          </cell>
        </row>
        <row r="41">
          <cell r="AD41" t="str">
            <v>Potassium U</v>
          </cell>
        </row>
        <row r="42">
          <cell r="AD42" t="str">
            <v>Protéines U</v>
          </cell>
        </row>
        <row r="43">
          <cell r="AD43" t="str">
            <v>Sodium U</v>
          </cell>
        </row>
        <row r="44">
          <cell r="AD44" t="str">
            <v>Urée U</v>
          </cell>
        </row>
        <row r="46">
          <cell r="AD46" t="str">
            <v>ENZYMES</v>
          </cell>
        </row>
        <row r="47">
          <cell r="AD47" t="str">
            <v>5'Nu</v>
          </cell>
        </row>
        <row r="48">
          <cell r="AD48" t="str">
            <v>a-Amylase</v>
          </cell>
        </row>
        <row r="49">
          <cell r="AD49" t="str">
            <v>ALAT</v>
          </cell>
        </row>
        <row r="50">
          <cell r="AD50" t="str">
            <v>ASAT</v>
          </cell>
        </row>
        <row r="51">
          <cell r="AD51" t="str">
            <v>CK</v>
          </cell>
        </row>
        <row r="52">
          <cell r="AD52" t="str">
            <v>GGT</v>
          </cell>
        </row>
        <row r="53">
          <cell r="AD53" t="str">
            <v>LDH</v>
          </cell>
        </row>
        <row r="54">
          <cell r="AD54" t="str">
            <v>Lipase</v>
          </cell>
        </row>
        <row r="55">
          <cell r="AD55" t="str">
            <v>PAL</v>
          </cell>
        </row>
        <row r="57">
          <cell r="AD57" t="str">
            <v>PROTEINES SPECIFIQUES</v>
          </cell>
        </row>
        <row r="58">
          <cell r="AD58" t="str">
            <v>a1AT</v>
          </cell>
        </row>
        <row r="59">
          <cell r="AD59" t="str">
            <v>a2-Macroglobuline</v>
          </cell>
        </row>
        <row r="60">
          <cell r="AD60" t="str">
            <v>Albumine</v>
          </cell>
        </row>
        <row r="61">
          <cell r="AD61" t="str">
            <v>ApoA1</v>
          </cell>
        </row>
        <row r="62">
          <cell r="AD62" t="str">
            <v>ApoB</v>
          </cell>
        </row>
        <row r="63">
          <cell r="AD63" t="str">
            <v>b2-Microglobuline</v>
          </cell>
        </row>
        <row r="64">
          <cell r="AD64" t="str">
            <v>Céruléoplasmine</v>
          </cell>
        </row>
        <row r="65">
          <cell r="AD65" t="str">
            <v>C3</v>
          </cell>
        </row>
        <row r="66">
          <cell r="AD66" t="str">
            <v>C4</v>
          </cell>
        </row>
        <row r="67">
          <cell r="AD67" t="str">
            <v>CRP</v>
          </cell>
        </row>
        <row r="68">
          <cell r="AD68" t="str">
            <v>Haptoglobine</v>
          </cell>
        </row>
        <row r="69">
          <cell r="AD69" t="str">
            <v>IgA</v>
          </cell>
        </row>
        <row r="70">
          <cell r="AD70" t="str">
            <v>IgE</v>
          </cell>
        </row>
        <row r="71">
          <cell r="AD71" t="str">
            <v>IgG</v>
          </cell>
        </row>
        <row r="72">
          <cell r="AD72" t="str">
            <v>IgM</v>
          </cell>
        </row>
        <row r="73">
          <cell r="AD73" t="str">
            <v>Oroso</v>
          </cell>
        </row>
        <row r="74">
          <cell r="AD74" t="str">
            <v>PréAlb</v>
          </cell>
        </row>
        <row r="75">
          <cell r="AD75" t="str">
            <v>Transférrine</v>
          </cell>
        </row>
        <row r="77">
          <cell r="AD77" t="str">
            <v>GAZ DU SANG</v>
          </cell>
        </row>
        <row r="78">
          <cell r="AD78" t="str">
            <v>HbCO</v>
          </cell>
        </row>
        <row r="79">
          <cell r="AD79" t="str">
            <v>HbO2</v>
          </cell>
        </row>
        <row r="80">
          <cell r="AD80" t="str">
            <v>metHb</v>
          </cell>
        </row>
        <row r="82">
          <cell r="AD82" t="str">
            <v>pCO2</v>
          </cell>
        </row>
        <row r="83">
          <cell r="AD83" t="str">
            <v>pH (unité)</v>
          </cell>
        </row>
        <row r="84">
          <cell r="AD84" t="str">
            <v>pH (nmol/l)</v>
          </cell>
        </row>
        <row r="85">
          <cell r="AD85" t="str">
            <v>p02</v>
          </cell>
        </row>
        <row r="88">
          <cell r="AD88" t="str">
            <v>MEDICAMENTS</v>
          </cell>
        </row>
        <row r="89">
          <cell r="AD89" t="str">
            <v>Acide Valproïque</v>
          </cell>
        </row>
        <row r="90">
          <cell r="AD90" t="str">
            <v>Amikacine</v>
          </cell>
        </row>
        <row r="91">
          <cell r="AD91" t="str">
            <v>Carbamazépine</v>
          </cell>
        </row>
        <row r="92">
          <cell r="AD92" t="str">
            <v>Digoxine</v>
          </cell>
        </row>
        <row r="93">
          <cell r="AD93" t="str">
            <v>Gentamicine</v>
          </cell>
        </row>
        <row r="94">
          <cell r="AD94" t="str">
            <v>Lithium</v>
          </cell>
        </row>
        <row r="95">
          <cell r="AD95" t="str">
            <v>Méthotrexate</v>
          </cell>
        </row>
        <row r="96">
          <cell r="AD96" t="str">
            <v>Paracétamol</v>
          </cell>
        </row>
        <row r="97">
          <cell r="AD97" t="str">
            <v>Phénobarbital</v>
          </cell>
        </row>
        <row r="98">
          <cell r="AD98" t="str">
            <v>Phénytoïne</v>
          </cell>
        </row>
        <row r="99">
          <cell r="AD99" t="str">
            <v>Salycilates</v>
          </cell>
        </row>
        <row r="100">
          <cell r="AD100" t="str">
            <v>Théophiline</v>
          </cell>
        </row>
        <row r="101">
          <cell r="AD101" t="str">
            <v>Vancomycine</v>
          </cell>
        </row>
        <row r="103">
          <cell r="AD103" t="str">
            <v>MARQUEURS TUMORAUX</v>
          </cell>
        </row>
        <row r="104">
          <cell r="AD104" t="str">
            <v>ACE</v>
          </cell>
        </row>
        <row r="105">
          <cell r="AD105" t="str">
            <v>MEDICAMENTS</v>
          </cell>
        </row>
        <row r="106">
          <cell r="AD106" t="str">
            <v>Acide Valproïque</v>
          </cell>
        </row>
        <row r="107">
          <cell r="AD107" t="str">
            <v>Amikacine</v>
          </cell>
        </row>
        <row r="108">
          <cell r="AD108" t="str">
            <v>Carbamazépine</v>
          </cell>
        </row>
        <row r="109">
          <cell r="AD109" t="str">
            <v>Digoxine</v>
          </cell>
        </row>
        <row r="110">
          <cell r="AD110" t="str">
            <v>Gentamicine</v>
          </cell>
        </row>
        <row r="111">
          <cell r="AD111" t="str">
            <v>Lithium</v>
          </cell>
        </row>
        <row r="112">
          <cell r="AD112" t="str">
            <v>Méthotrexate</v>
          </cell>
        </row>
        <row r="113">
          <cell r="AD113" t="str">
            <v>Paracétamol</v>
          </cell>
        </row>
        <row r="114">
          <cell r="AD114" t="str">
            <v>Phénobarbital</v>
          </cell>
        </row>
        <row r="115">
          <cell r="AD115" t="str">
            <v>Phénytoïne</v>
          </cell>
        </row>
        <row r="116">
          <cell r="AD116" t="str">
            <v>Salycilates</v>
          </cell>
        </row>
        <row r="117">
          <cell r="AD117" t="str">
            <v>Théophiline</v>
          </cell>
        </row>
        <row r="118">
          <cell r="AD118" t="str">
            <v>Vancomycine</v>
          </cell>
        </row>
        <row r="119">
          <cell r="AD119" t="str">
            <v>PTH</v>
          </cell>
        </row>
        <row r="120">
          <cell r="AD120" t="str">
            <v>MARQUEURS TUMORAUX</v>
          </cell>
        </row>
        <row r="121">
          <cell r="AD121" t="str">
            <v>ACE</v>
          </cell>
        </row>
        <row r="122">
          <cell r="AD122" t="str">
            <v>AFP</v>
          </cell>
        </row>
        <row r="123">
          <cell r="AD123" t="str">
            <v>CA125</v>
          </cell>
        </row>
        <row r="124">
          <cell r="AD124" t="str">
            <v>CA15-3</v>
          </cell>
        </row>
        <row r="125">
          <cell r="AD125" t="str">
            <v>CA19-9</v>
          </cell>
        </row>
        <row r="126">
          <cell r="AD126" t="str">
            <v>PSA</v>
          </cell>
        </row>
        <row r="128">
          <cell r="AD128" t="str">
            <v>HORMONES</v>
          </cell>
        </row>
        <row r="129">
          <cell r="AD129" t="str">
            <v>Cortisol</v>
          </cell>
        </row>
        <row r="130">
          <cell r="AD130" t="str">
            <v>E2</v>
          </cell>
        </row>
        <row r="131">
          <cell r="AD131" t="str">
            <v>FSH</v>
          </cell>
        </row>
        <row r="132">
          <cell r="AD132" t="str">
            <v>GH</v>
          </cell>
        </row>
        <row r="133">
          <cell r="AD133" t="str">
            <v>HCG B</v>
          </cell>
        </row>
        <row r="134">
          <cell r="AD134" t="str">
            <v>Insuline</v>
          </cell>
        </row>
        <row r="135">
          <cell r="AD135" t="str">
            <v>LH</v>
          </cell>
        </row>
        <row r="136">
          <cell r="AD136" t="str">
            <v>PTH</v>
          </cell>
        </row>
        <row r="137">
          <cell r="AD137" t="str">
            <v>Peptide C</v>
          </cell>
        </row>
        <row r="138">
          <cell r="AD138" t="str">
            <v>Progesterone</v>
          </cell>
        </row>
        <row r="139">
          <cell r="AD139" t="str">
            <v>Prolactine</v>
          </cell>
        </row>
        <row r="140">
          <cell r="AD140" t="str">
            <v>FT3</v>
          </cell>
        </row>
        <row r="141">
          <cell r="AD141" t="str">
            <v>FT4</v>
          </cell>
        </row>
        <row r="142">
          <cell r="AD142" t="str">
            <v>Testosterone</v>
          </cell>
        </row>
        <row r="143">
          <cell r="AD143" t="str">
            <v>TSH</v>
          </cell>
        </row>
        <row r="144">
          <cell r="AD144" t="str">
            <v>a-Fetoprotein(non hepatic carcinoma)</v>
          </cell>
        </row>
        <row r="145">
          <cell r="AD145" t="str">
            <v>RICOS</v>
          </cell>
        </row>
        <row r="146">
          <cell r="AD146" t="str">
            <v>Acid phosphatase</v>
          </cell>
        </row>
        <row r="147">
          <cell r="AD147" t="str">
            <v xml:space="preserve">Sang-plasma </v>
          </cell>
        </row>
        <row r="148">
          <cell r="AD148" t="str">
            <v>11-Desoxycortisol S</v>
          </cell>
        </row>
        <row r="149">
          <cell r="AD149" t="str">
            <v>17-Hydroxyprogesterone</v>
          </cell>
        </row>
        <row r="150">
          <cell r="AD150" t="str">
            <v>5' Nucleotidase</v>
          </cell>
        </row>
        <row r="151">
          <cell r="AD151" t="str">
            <v>a1-Acid Glycoprotein</v>
          </cell>
        </row>
        <row r="152">
          <cell r="AD152" t="str">
            <v>a1-Antichymotrypsin</v>
          </cell>
        </row>
        <row r="153">
          <cell r="AD153" t="str">
            <v>a1-Antitrypsin</v>
          </cell>
        </row>
        <row r="154">
          <cell r="AD154" t="str">
            <v>a1-Globulin</v>
          </cell>
        </row>
        <row r="155">
          <cell r="AD155" t="str">
            <v>a2-Antiplasmin</v>
          </cell>
        </row>
        <row r="156">
          <cell r="AD156" t="str">
            <v>a2-Globulins</v>
          </cell>
        </row>
        <row r="157">
          <cell r="AD157" t="str">
            <v>a2-Macroglobulin</v>
          </cell>
        </row>
        <row r="158">
          <cell r="AD158" t="str">
            <v>a-Amylase (ricos)</v>
          </cell>
        </row>
        <row r="159">
          <cell r="AD159" t="str">
            <v>a-Amylase (pancreatic)</v>
          </cell>
        </row>
        <row r="160">
          <cell r="AD160" t="str">
            <v>a-Carotene</v>
          </cell>
        </row>
        <row r="161">
          <cell r="AD161" t="str">
            <v>a-Fetoprotein(non hepatic carcinoma)</v>
          </cell>
        </row>
        <row r="162">
          <cell r="AD162" t="str">
            <v>a-Tocopherol</v>
          </cell>
        </row>
        <row r="163">
          <cell r="AD163" t="str">
            <v>Acid phosphatase</v>
          </cell>
        </row>
        <row r="164">
          <cell r="AD164" t="str">
            <v>Acid phosphatase tartrate-resistant (TR-ACP)</v>
          </cell>
        </row>
        <row r="165">
          <cell r="AD165" t="str">
            <v>Acid phosphatase prostatic activity (PAP)</v>
          </cell>
        </row>
        <row r="166">
          <cell r="AD166" t="str">
            <v>Activated partial thromboplastine time</v>
          </cell>
        </row>
        <row r="167">
          <cell r="AD167" t="str">
            <v>Acyl/free carnitine</v>
          </cell>
        </row>
        <row r="168">
          <cell r="AD168" t="str">
            <v>Adiponectin</v>
          </cell>
        </row>
        <row r="169">
          <cell r="AD169" t="str">
            <v>Adenosine deaminase (ADA)</v>
          </cell>
        </row>
        <row r="170">
          <cell r="AD170" t="str">
            <v>Alanine aminopeptidase</v>
          </cell>
        </row>
        <row r="171">
          <cell r="AD171" t="str">
            <v>Alanine aminotransferase</v>
          </cell>
        </row>
        <row r="172">
          <cell r="AD172" t="str">
            <v>Albumin</v>
          </cell>
        </row>
        <row r="173">
          <cell r="AD173" t="str">
            <v>Aldosterone</v>
          </cell>
        </row>
        <row r="174">
          <cell r="AD174" t="str">
            <v>Alkaline phosphatase</v>
          </cell>
        </row>
        <row r="175">
          <cell r="AD175" t="str">
            <v>Alkaline phosphatase, bone</v>
          </cell>
        </row>
        <row r="176">
          <cell r="AD176" t="str">
            <v>Alkaline phosphatase, liver</v>
          </cell>
        </row>
        <row r="177">
          <cell r="AD177" t="str">
            <v>Alkaline phosphatase, placental</v>
          </cell>
        </row>
        <row r="178">
          <cell r="AD178" t="str">
            <v>Amyloid A</v>
          </cell>
        </row>
        <row r="179">
          <cell r="AD179" t="str">
            <v>Androstendione</v>
          </cell>
        </row>
        <row r="180">
          <cell r="AD180" t="str">
            <v>Androstenedione</v>
          </cell>
        </row>
        <row r="181">
          <cell r="AD181" t="str">
            <v>Angiotensin converting enzyme</v>
          </cell>
        </row>
        <row r="182">
          <cell r="AD182" t="str">
            <v>Antithrombin III</v>
          </cell>
        </row>
        <row r="183">
          <cell r="AD183" t="str">
            <v>Apolipoprotein A1</v>
          </cell>
        </row>
        <row r="184">
          <cell r="AD184" t="str">
            <v>Apolipoprotein B</v>
          </cell>
        </row>
        <row r="185">
          <cell r="AD185" t="str">
            <v>Ascorbic Acid</v>
          </cell>
        </row>
        <row r="186">
          <cell r="AD186" t="str">
            <v>Aspartate aminotransferase</v>
          </cell>
        </row>
        <row r="187">
          <cell r="AD187" t="str">
            <v>b-2-Microglobulin</v>
          </cell>
        </row>
        <row r="188">
          <cell r="AD188" t="str">
            <v>Basophile, count</v>
          </cell>
        </row>
        <row r="189">
          <cell r="AD189" t="str">
            <v>b-Carotene</v>
          </cell>
        </row>
        <row r="190">
          <cell r="AD190" t="str">
            <v>b-Cryptoxantin</v>
          </cell>
        </row>
        <row r="191">
          <cell r="AD191" t="str">
            <v>b-Globulins</v>
          </cell>
        </row>
        <row r="192">
          <cell r="AD192" t="str">
            <v>Bilirubin total</v>
          </cell>
        </row>
        <row r="193">
          <cell r="AD193" t="str">
            <v>Bilirubin conjugated</v>
          </cell>
        </row>
        <row r="194">
          <cell r="AD194" t="str">
            <v>CA 125 antigen</v>
          </cell>
        </row>
        <row r="195">
          <cell r="AD195" t="str">
            <v>CA 15,3 antigen</v>
          </cell>
        </row>
        <row r="196">
          <cell r="AD196" t="str">
            <v>CA 19,9 antigen</v>
          </cell>
        </row>
        <row r="197">
          <cell r="AD197" t="str">
            <v>CA 549 antigen</v>
          </cell>
        </row>
        <row r="198">
          <cell r="AD198" t="str">
            <v>Calcium</v>
          </cell>
        </row>
        <row r="199">
          <cell r="AD199" t="str">
            <v>Carbohydrate deficient transferrin</v>
          </cell>
        </row>
        <row r="200">
          <cell r="AD200" t="str">
            <v>Carcinoembryonic antigen (CEA)</v>
          </cell>
        </row>
        <row r="201">
          <cell r="AD201" t="str">
            <v>CD4 lymphocyte count</v>
          </cell>
        </row>
        <row r="202">
          <cell r="AD202" t="str">
            <v>Ceruloplasmin</v>
          </cell>
        </row>
        <row r="203">
          <cell r="AD203" t="str">
            <v>Chloride</v>
          </cell>
        </row>
        <row r="204">
          <cell r="AD204" t="str">
            <v>Cholesterol (ricos)</v>
          </cell>
        </row>
        <row r="205">
          <cell r="AD205" t="str">
            <v>Cholinesterase</v>
          </cell>
        </row>
        <row r="206">
          <cell r="AD206" t="str">
            <v>Cholinesterase, activity</v>
          </cell>
        </row>
        <row r="207">
          <cell r="AD207" t="str">
            <v>Cholinesterase, immunoreactive</v>
          </cell>
        </row>
        <row r="208">
          <cell r="AD208" t="str">
            <v>C3 complement</v>
          </cell>
        </row>
        <row r="209">
          <cell r="AD209" t="str">
            <v>C4 complement</v>
          </cell>
        </row>
        <row r="210">
          <cell r="AD210" t="str">
            <v>Chromogranin A</v>
          </cell>
        </row>
        <row r="211">
          <cell r="AD211" t="str">
            <v>Copper</v>
          </cell>
        </row>
        <row r="212">
          <cell r="AD212" t="str">
            <v>Copper</v>
          </cell>
        </row>
        <row r="213">
          <cell r="AD213" t="str">
            <v>Cortisol (ricos)</v>
          </cell>
        </row>
        <row r="214">
          <cell r="AD214" t="str">
            <v>C Peptide</v>
          </cell>
        </row>
        <row r="215">
          <cell r="AD215" t="str">
            <v>C-Propeptide type I procollagen</v>
          </cell>
        </row>
        <row r="216">
          <cell r="AD216" t="str">
            <v>C-Reactive protein</v>
          </cell>
        </row>
        <row r="217">
          <cell r="AD217" t="str">
            <v>Creatine kinase (CK)</v>
          </cell>
        </row>
        <row r="218">
          <cell r="AD218" t="str">
            <v>Creatine kinase MB, %</v>
          </cell>
        </row>
        <row r="219">
          <cell r="AD219" t="str">
            <v>Creatine kinase MB, activity</v>
          </cell>
        </row>
        <row r="220">
          <cell r="AD220" t="str">
            <v>Creatine kinase MB, mass</v>
          </cell>
        </row>
        <row r="221">
          <cell r="AD221" t="str">
            <v>Creatinine (ricos)</v>
          </cell>
        </row>
        <row r="222">
          <cell r="AD222" t="str">
            <v>Creatinine clearance</v>
          </cell>
        </row>
        <row r="223">
          <cell r="AD223" t="str">
            <v>Cyfra 21,1</v>
          </cell>
        </row>
        <row r="224">
          <cell r="AD224" t="str">
            <v>Cystastin C</v>
          </cell>
        </row>
        <row r="225">
          <cell r="AD225" t="str">
            <v>Cysteine</v>
          </cell>
        </row>
        <row r="226">
          <cell r="AD226" t="str">
            <v>Dehydroepiandrosterone sulfate</v>
          </cell>
        </row>
        <row r="227">
          <cell r="AD227" t="str">
            <v>Dipeptidyl-peptidase IV (ACE)</v>
          </cell>
        </row>
        <row r="228">
          <cell r="AD228" t="str">
            <v>Dipeptidyl-peptidase IV (ACE)</v>
          </cell>
        </row>
        <row r="229">
          <cell r="AD229" t="str">
            <v>Elastase</v>
          </cell>
        </row>
        <row r="230">
          <cell r="AD230" t="str">
            <v>Endotelial growth factor</v>
          </cell>
        </row>
        <row r="231">
          <cell r="AD231" t="str">
            <v>Eosinophils, count</v>
          </cell>
        </row>
        <row r="232">
          <cell r="AD232" t="str">
            <v>Epinephrine</v>
          </cell>
        </row>
        <row r="233">
          <cell r="AD233" t="str">
            <v>Epinephrine</v>
          </cell>
        </row>
        <row r="234">
          <cell r="AD234" t="str">
            <v>Erythrocytes, count</v>
          </cell>
        </row>
        <row r="235">
          <cell r="AD235" t="str">
            <v>Erythrocyte distribution wide</v>
          </cell>
        </row>
        <row r="236">
          <cell r="AD236" t="str">
            <v>Estradiol</v>
          </cell>
        </row>
        <row r="237">
          <cell r="AD237" t="str">
            <v>Factor V coagulation</v>
          </cell>
        </row>
        <row r="238">
          <cell r="AD238" t="str">
            <v>Factor VII coagulation</v>
          </cell>
        </row>
        <row r="239">
          <cell r="AD239" t="str">
            <v>Factor VIII coagulation</v>
          </cell>
        </row>
        <row r="240">
          <cell r="AD240" t="str">
            <v>Factor X coagulation</v>
          </cell>
        </row>
        <row r="241">
          <cell r="AD241" t="str">
            <v>Ferritin</v>
          </cell>
        </row>
        <row r="242">
          <cell r="AD242" t="str">
            <v>Fibrinogen</v>
          </cell>
        </row>
        <row r="243">
          <cell r="AD243" t="str">
            <v>Folate (ricos 1)</v>
          </cell>
        </row>
        <row r="244">
          <cell r="AD244" t="str">
            <v>Folate (ricos 2)</v>
          </cell>
        </row>
        <row r="245">
          <cell r="AD245" t="str">
            <v>Follicle stimulating hormone (males)</v>
          </cell>
        </row>
        <row r="246">
          <cell r="AD246" t="str">
            <v>Free carnitine</v>
          </cell>
        </row>
        <row r="247">
          <cell r="AD247" t="str">
            <v>Free estradiol</v>
          </cell>
        </row>
        <row r="248">
          <cell r="AD248" t="str">
            <v>Free testosterone</v>
          </cell>
        </row>
        <row r="249">
          <cell r="AD249" t="str">
            <v>Free thyroxine (FT4)</v>
          </cell>
        </row>
        <row r="250">
          <cell r="AD250" t="str">
            <v>Free Triiodothyronine (FT3)</v>
          </cell>
        </row>
        <row r="251">
          <cell r="AD251" t="str">
            <v>Fructosamine (ricos)</v>
          </cell>
        </row>
        <row r="252">
          <cell r="AD252" t="str">
            <v>Galactosyl hydroxylisine</v>
          </cell>
        </row>
        <row r="253">
          <cell r="AD253" t="str">
            <v>g-Globulins</v>
          </cell>
        </row>
        <row r="254">
          <cell r="AD254" t="str">
            <v>g-glutamyltransferase</v>
          </cell>
        </row>
        <row r="255">
          <cell r="AD255" t="str">
            <v>Globulins, total</v>
          </cell>
        </row>
        <row r="256">
          <cell r="AD256" t="str">
            <v>Glucose (ricos)</v>
          </cell>
        </row>
        <row r="257">
          <cell r="AD257" t="str">
            <v>Glucose-6-phosphate-1-dehydrogenase (G6PDH)</v>
          </cell>
        </row>
        <row r="258">
          <cell r="AD258" t="str">
            <v>Glucose-6-phosphate-1-dehydrogenase (G6PDH)</v>
          </cell>
        </row>
        <row r="259">
          <cell r="AD259" t="str">
            <v>Glutathion peroxidase</v>
          </cell>
        </row>
        <row r="260">
          <cell r="AD260" t="str">
            <v>Glycated albumin</v>
          </cell>
        </row>
        <row r="261">
          <cell r="AD261" t="str">
            <v>Glycated total protein</v>
          </cell>
        </row>
        <row r="262">
          <cell r="AD262" t="str">
            <v>Haptoglobin</v>
          </cell>
        </row>
        <row r="263">
          <cell r="AD263" t="str">
            <v>Hematocrit</v>
          </cell>
        </row>
        <row r="264">
          <cell r="AD264" t="str">
            <v>Hemoglobin</v>
          </cell>
        </row>
        <row r="265">
          <cell r="AD265" t="str">
            <v>Hemoglobin A1 C</v>
          </cell>
        </row>
        <row r="266">
          <cell r="AD266" t="str">
            <v>HDL cholesterol</v>
          </cell>
        </row>
        <row r="267">
          <cell r="AD267" t="str">
            <v>HDL 1 cholesterol</v>
          </cell>
        </row>
        <row r="268">
          <cell r="AD268" t="str">
            <v>HDL 2 cholesterol</v>
          </cell>
        </row>
        <row r="269">
          <cell r="AD269" t="str">
            <v>HDL 3 cholesterol</v>
          </cell>
        </row>
        <row r="270">
          <cell r="AD270" t="str">
            <v>Homocysteine</v>
          </cell>
        </row>
        <row r="271">
          <cell r="AD271" t="str">
            <v>Hydroxyproline/creatinine</v>
          </cell>
        </row>
        <row r="272">
          <cell r="AD272" t="str">
            <v>Hydroxybutyrate dehydrogenase</v>
          </cell>
        </row>
        <row r="273">
          <cell r="AD273" t="str">
            <v>Immunoglobulin A</v>
          </cell>
        </row>
        <row r="274">
          <cell r="AD274" t="str">
            <v>Immunoglobulin G</v>
          </cell>
        </row>
        <row r="275">
          <cell r="AD275" t="str">
            <v>Immunoglobulin M</v>
          </cell>
        </row>
        <row r="276">
          <cell r="AD276" t="str">
            <v>Immunoglobulins K chains</v>
          </cell>
        </row>
        <row r="277">
          <cell r="AD277" t="str">
            <v>Immunoglobulins l chains</v>
          </cell>
        </row>
        <row r="278">
          <cell r="AD278" t="str">
            <v>Insulin</v>
          </cell>
        </row>
        <row r="279">
          <cell r="AD279" t="str">
            <v>Insulin-like growth factor (IGF-1)</v>
          </cell>
        </row>
        <row r="280">
          <cell r="AD280" t="str">
            <v>Intercellular adhesion molecule-1</v>
          </cell>
        </row>
        <row r="281">
          <cell r="AD281" t="str">
            <v>Interferon receptor</v>
          </cell>
        </row>
        <row r="282">
          <cell r="AD282" t="str">
            <v>Interleukin-1B</v>
          </cell>
        </row>
        <row r="283">
          <cell r="AD283" t="str">
            <v>Interleukin-8</v>
          </cell>
        </row>
        <row r="284">
          <cell r="AD284" t="str">
            <v>Iron</v>
          </cell>
        </row>
        <row r="285">
          <cell r="AD285" t="str">
            <v>Lactate (ricos)</v>
          </cell>
        </row>
        <row r="286">
          <cell r="AD286" t="str">
            <v>Lactate dehydrogenase (LDH)</v>
          </cell>
        </row>
        <row r="287">
          <cell r="AD287" t="str">
            <v>Lactate dehydrogenase 1 isoform (LDH1)</v>
          </cell>
        </row>
        <row r="288">
          <cell r="AD288" t="str">
            <v>Lactate dehydrogenase 2 isoform (LDH2)</v>
          </cell>
        </row>
        <row r="289">
          <cell r="AD289" t="str">
            <v>Lactate dehydrogenase 3 isoform (LDH3)</v>
          </cell>
        </row>
        <row r="290">
          <cell r="AD290" t="str">
            <v>Lactate dehydrogenase 4 isoform (LDH4)</v>
          </cell>
        </row>
        <row r="291">
          <cell r="AD291" t="str">
            <v>Lactate dehydrogenase 5 isoform (LDH5)</v>
          </cell>
        </row>
        <row r="292">
          <cell r="AD292" t="str">
            <v>Lactoferrin</v>
          </cell>
        </row>
        <row r="293">
          <cell r="AD293" t="str">
            <v>Leukocytes, count</v>
          </cell>
        </row>
        <row r="294">
          <cell r="AD294" t="str">
            <v>LDL Cholesterol</v>
          </cell>
        </row>
        <row r="295">
          <cell r="AD295" t="str">
            <v>LDL Cholesterol (direct)</v>
          </cell>
        </row>
        <row r="296">
          <cell r="AD296" t="str">
            <v>LDL Cholesterol (oxidized)</v>
          </cell>
        </row>
        <row r="297">
          <cell r="AD297" t="str">
            <v>LDL receptor mRNA</v>
          </cell>
        </row>
        <row r="298">
          <cell r="AD298" t="str">
            <v>Leukocytes count</v>
          </cell>
        </row>
        <row r="299">
          <cell r="AD299" t="str">
            <v>Lipase (ricos)</v>
          </cell>
        </row>
        <row r="300">
          <cell r="AD300" t="str">
            <v>Lipoprotein (a)</v>
          </cell>
        </row>
        <row r="301">
          <cell r="AD301" t="str">
            <v>Lutein</v>
          </cell>
        </row>
        <row r="302">
          <cell r="AD302" t="str">
            <v>Luteinizing hormone</v>
          </cell>
        </row>
        <row r="303">
          <cell r="AD303" t="str">
            <v>Lycopenene</v>
          </cell>
        </row>
        <row r="304">
          <cell r="AD304" t="str">
            <v>Lymphocytes, count</v>
          </cell>
        </row>
        <row r="305">
          <cell r="AD305" t="str">
            <v>Lymphocytes CD4</v>
          </cell>
        </row>
        <row r="306">
          <cell r="AD306" t="str">
            <v>Magnesium (ricos)</v>
          </cell>
        </row>
        <row r="307">
          <cell r="AD307" t="str">
            <v>Magnesium (ricos2)</v>
          </cell>
        </row>
        <row r="308">
          <cell r="AD308" t="str">
            <v>Magnesium (ricos3)</v>
          </cell>
        </row>
        <row r="309">
          <cell r="AD309" t="str">
            <v>Magnesium, concentration, 24h</v>
          </cell>
        </row>
        <row r="310">
          <cell r="AD310" t="str">
            <v>Magnesium, ionized</v>
          </cell>
        </row>
        <row r="311">
          <cell r="AD311" t="str">
            <v>Magnesium, output, 24h</v>
          </cell>
        </row>
        <row r="312">
          <cell r="AD312" t="str">
            <v>Mean corpuscular hemoglobin (HCM)</v>
          </cell>
        </row>
        <row r="313">
          <cell r="AD313" t="str">
            <v>Mean corpuscular hemoglobin concentration (MCHC)</v>
          </cell>
        </row>
        <row r="314">
          <cell r="AD314" t="str">
            <v>Mean corpuscular volume (MCV)</v>
          </cell>
        </row>
        <row r="315">
          <cell r="AD315" t="str">
            <v>Mean platelet volume (MPV)</v>
          </cell>
        </row>
        <row r="316">
          <cell r="AD316" t="str">
            <v>Monocytes, count</v>
          </cell>
        </row>
        <row r="317">
          <cell r="AD317" t="str">
            <v>Mucinous carcinoma-associated antigen (MCA)</v>
          </cell>
        </row>
        <row r="318">
          <cell r="AD318" t="str">
            <v>Myeloperoxidase</v>
          </cell>
        </row>
        <row r="319">
          <cell r="AD319" t="str">
            <v>Myoglobin</v>
          </cell>
        </row>
        <row r="320">
          <cell r="AD320" t="str">
            <v>N-Acetyl Glucosaminidase, concentration, overnight</v>
          </cell>
        </row>
        <row r="321">
          <cell r="AD321" t="str">
            <v>Neutrophyles, count</v>
          </cell>
        </row>
        <row r="322">
          <cell r="AD322" t="str">
            <v>Non-inhibited arilestearase activity</v>
          </cell>
        </row>
        <row r="323">
          <cell r="AD323" t="str">
            <v>Norepinephrine</v>
          </cell>
        </row>
        <row r="324">
          <cell r="AD324" t="str">
            <v>Norepinephrine</v>
          </cell>
        </row>
        <row r="325">
          <cell r="AD325" t="str">
            <v>N-terminal (NT)-proBNP</v>
          </cell>
        </row>
        <row r="326">
          <cell r="AD326" t="str">
            <v>Osmolality</v>
          </cell>
        </row>
        <row r="327">
          <cell r="AD327" t="str">
            <v>Osteocalcin</v>
          </cell>
        </row>
        <row r="328">
          <cell r="AD328" t="str">
            <v>Osteocalcin (+1 trab)</v>
          </cell>
        </row>
        <row r="329">
          <cell r="AD329" t="str">
            <v>Oxalate, concentration, 24h</v>
          </cell>
        </row>
        <row r="330">
          <cell r="AD330" t="str">
            <v>Oxalate, output, 24h</v>
          </cell>
        </row>
        <row r="331">
          <cell r="AD331" t="str">
            <v>pCO2 (ricos)</v>
          </cell>
        </row>
        <row r="332">
          <cell r="AD332" t="str">
            <v>pH [H+]</v>
          </cell>
        </row>
        <row r="333">
          <cell r="AD333" t="str">
            <v>pH (pH units)</v>
          </cell>
        </row>
        <row r="334">
          <cell r="AD334" t="str">
            <v>Paraoxon</v>
          </cell>
        </row>
        <row r="335">
          <cell r="AD335" t="str">
            <v>Paraoxonase 1 substrate inhibition (PON 4SI)</v>
          </cell>
        </row>
        <row r="336">
          <cell r="AD336" t="str">
            <v>Paraoxonase activity (salt estimulated)</v>
          </cell>
        </row>
        <row r="337">
          <cell r="AD337" t="str">
            <v>Parathyroid hormone (PTH)</v>
          </cell>
        </row>
        <row r="338">
          <cell r="AD338" t="str">
            <v>Phenylacetate</v>
          </cell>
        </row>
        <row r="339">
          <cell r="AD339" t="str">
            <v>Phosphate (ricos)</v>
          </cell>
        </row>
        <row r="340">
          <cell r="AD340" t="str">
            <v>Phosphate tubular reabsorption</v>
          </cell>
        </row>
        <row r="341">
          <cell r="AD341" t="str">
            <v>Phospholipids</v>
          </cell>
        </row>
        <row r="342">
          <cell r="AD342" t="str">
            <v>Plasminogen</v>
          </cell>
        </row>
        <row r="343">
          <cell r="AD343" t="str">
            <v>Platelets, count</v>
          </cell>
        </row>
        <row r="344">
          <cell r="AD344" t="str">
            <v>Platelet distribution wide</v>
          </cell>
        </row>
        <row r="345">
          <cell r="AD345" t="str">
            <v>Plateletcrit</v>
          </cell>
        </row>
        <row r="346">
          <cell r="AD346" t="str">
            <v>Potassium (ricos)</v>
          </cell>
        </row>
        <row r="347">
          <cell r="AD347" t="str">
            <v>Potassium (ricos2)</v>
          </cell>
        </row>
        <row r="348">
          <cell r="AD348" t="str">
            <v>Prealbumin</v>
          </cell>
        </row>
        <row r="349">
          <cell r="AD349" t="str">
            <v>Procollagen type 1 C-terminal</v>
          </cell>
        </row>
        <row r="350">
          <cell r="AD350" t="str">
            <v>Procollagen type 1 N-terminal</v>
          </cell>
        </row>
        <row r="351">
          <cell r="AD351" t="str">
            <v>Prolactin (men)</v>
          </cell>
        </row>
        <row r="352">
          <cell r="AD352" t="str">
            <v>Prolyl endopeptidase</v>
          </cell>
        </row>
        <row r="353">
          <cell r="AD353" t="str">
            <v>Properdin factor B</v>
          </cell>
        </row>
        <row r="354">
          <cell r="AD354" t="str">
            <v>Prostatic specific antigen (PSA)</v>
          </cell>
        </row>
        <row r="355">
          <cell r="AD355" t="str">
            <v>Protein C</v>
          </cell>
        </row>
        <row r="356">
          <cell r="AD356" t="str">
            <v>Protein S</v>
          </cell>
        </row>
        <row r="357">
          <cell r="AD357" t="str">
            <v>Protein, total</v>
          </cell>
        </row>
        <row r="358">
          <cell r="AD358" t="str">
            <v>Prothrombin time</v>
          </cell>
        </row>
        <row r="359">
          <cell r="AD359" t="str">
            <v>Pyruvate</v>
          </cell>
        </row>
        <row r="360">
          <cell r="AD360" t="str">
            <v>Red cell distribution wide (RDW)</v>
          </cell>
        </row>
        <row r="361">
          <cell r="AD361" t="str">
            <v>Reticulocyte highly fluorescent, count</v>
          </cell>
        </row>
        <row r="362">
          <cell r="AD362" t="str">
            <v>Reticulocyte low fluorescent, count</v>
          </cell>
        </row>
        <row r="363">
          <cell r="AD363" t="str">
            <v>Reticulocyte medium fluorescent, count</v>
          </cell>
        </row>
        <row r="364">
          <cell r="AD364" t="str">
            <v>Reticulocyte, count</v>
          </cell>
        </row>
        <row r="365">
          <cell r="AD365" t="str">
            <v>Retinol</v>
          </cell>
        </row>
        <row r="366">
          <cell r="AD366" t="str">
            <v>Retinol</v>
          </cell>
        </row>
        <row r="367">
          <cell r="AD367" t="str">
            <v>Rheumatoid factor</v>
          </cell>
        </row>
        <row r="368">
          <cell r="AD368" t="str">
            <v>SCC antigen</v>
          </cell>
        </row>
        <row r="369">
          <cell r="AD369" t="str">
            <v>Selenium</v>
          </cell>
        </row>
        <row r="370">
          <cell r="AD370" t="str">
            <v>Selenium</v>
          </cell>
        </row>
        <row r="371">
          <cell r="AD371" t="str">
            <v>Semen, concentration</v>
          </cell>
        </row>
        <row r="372">
          <cell r="AD372" t="str">
            <v>Semen, morphology</v>
          </cell>
        </row>
        <row r="373">
          <cell r="AD373" t="str">
            <v>Semen, progressive motility</v>
          </cell>
        </row>
        <row r="374">
          <cell r="AD374" t="str">
            <v>Semen, progressive rapid motility</v>
          </cell>
        </row>
        <row r="375">
          <cell r="AD375" t="str">
            <v>Semen, total motility</v>
          </cell>
        </row>
        <row r="376">
          <cell r="AD376" t="str">
            <v>Semen, vitality</v>
          </cell>
        </row>
        <row r="377">
          <cell r="AD377" t="str">
            <v>Sex hormone binding globulin (SHBG)</v>
          </cell>
        </row>
        <row r="378">
          <cell r="AD378" t="str">
            <v>Sodium (ricos)</v>
          </cell>
        </row>
        <row r="379">
          <cell r="AD379" t="str">
            <v>Sodium (ricos2)</v>
          </cell>
        </row>
        <row r="380">
          <cell r="AD380" t="str">
            <v>Sodium (ricos3)</v>
          </cell>
        </row>
        <row r="381">
          <cell r="AD381" t="str">
            <v>Sodium Bicarbonate</v>
          </cell>
        </row>
        <row r="382">
          <cell r="AD382" t="str">
            <v>Sodium Chloride</v>
          </cell>
        </row>
        <row r="383">
          <cell r="AD383" t="str">
            <v>Soluble CD163</v>
          </cell>
        </row>
        <row r="384">
          <cell r="AD384" t="str">
            <v>Soluble CD163</v>
          </cell>
        </row>
        <row r="385">
          <cell r="AD385" t="str">
            <v>Superoxide dismutase</v>
          </cell>
        </row>
        <row r="386">
          <cell r="AD386" t="str">
            <v>Superoxide dismutase</v>
          </cell>
        </row>
        <row r="387">
          <cell r="AD387" t="str">
            <v>Testosterone (ricos)</v>
          </cell>
        </row>
        <row r="388">
          <cell r="AD388" t="str">
            <v>Testosterone (ricos2)</v>
          </cell>
        </row>
        <row r="389">
          <cell r="AD389" t="str">
            <v>Testosterone (ricos3)</v>
          </cell>
        </row>
        <row r="390">
          <cell r="AD390" t="str">
            <v>Thyroglobulin</v>
          </cell>
        </row>
        <row r="391">
          <cell r="AD391" t="str">
            <v>Thyroglobulin antibody</v>
          </cell>
        </row>
        <row r="392">
          <cell r="AD392" t="str">
            <v>Thyroid peroxidase antibody</v>
          </cell>
        </row>
        <row r="393">
          <cell r="AD393" t="str">
            <v>Thyroid stimulating hormone (TSH)</v>
          </cell>
        </row>
        <row r="394">
          <cell r="AD394" t="str">
            <v>Thyrotropin receptor antibody</v>
          </cell>
        </row>
        <row r="395">
          <cell r="AD395" t="str">
            <v>Thyroxine binding globulin (TBG)</v>
          </cell>
        </row>
        <row r="396">
          <cell r="AD396" t="str">
            <v>Thyroxine (T4)</v>
          </cell>
        </row>
        <row r="397">
          <cell r="AD397" t="str">
            <v>Tissue polypeptide antigen (TPA)</v>
          </cell>
        </row>
        <row r="398">
          <cell r="AD398" t="str">
            <v>Tissue polypeptide specific antigen (TPS)</v>
          </cell>
        </row>
        <row r="399">
          <cell r="AD399" t="str">
            <v>Total carnitine</v>
          </cell>
        </row>
        <row r="400">
          <cell r="AD400" t="str">
            <v>Transferrin</v>
          </cell>
        </row>
        <row r="401">
          <cell r="AD401" t="str">
            <v>Triglyceride</v>
          </cell>
        </row>
        <row r="402">
          <cell r="AD402" t="str">
            <v>Triiodothyronine (T3)</v>
          </cell>
        </row>
        <row r="403">
          <cell r="AD403" t="str">
            <v>Troponin I</v>
          </cell>
        </row>
        <row r="404">
          <cell r="AD404" t="str">
            <v>Tumor Necrosis Factor-a</v>
          </cell>
        </row>
        <row r="405">
          <cell r="AD405" t="str">
            <v>Urate</v>
          </cell>
        </row>
        <row r="406">
          <cell r="AD406" t="str">
            <v>Urea</v>
          </cell>
        </row>
        <row r="407">
          <cell r="AD407" t="str">
            <v>Vascular cell adhesion molecule-1</v>
          </cell>
        </row>
        <row r="408">
          <cell r="AD408" t="str">
            <v>Vascular endotelial growth factor</v>
          </cell>
        </row>
        <row r="409">
          <cell r="AD409" t="str">
            <v>Vitamin B1</v>
          </cell>
        </row>
        <row r="410">
          <cell r="AD410" t="str">
            <v>Vitamin B2 (Riboflavin)</v>
          </cell>
        </row>
        <row r="411">
          <cell r="AD411" t="str">
            <v>Vitamin B2 (Riboflavin)</v>
          </cell>
        </row>
        <row r="412">
          <cell r="AD412" t="str">
            <v>Vitamin B2 status (gluthation reductase activation)</v>
          </cell>
        </row>
        <row r="413">
          <cell r="AD413" t="str">
            <v>Vitamin B12</v>
          </cell>
        </row>
        <row r="414">
          <cell r="AD414" t="str">
            <v>Vitamin B6</v>
          </cell>
        </row>
        <row r="415">
          <cell r="AD415" t="str">
            <v>Vitamin B6</v>
          </cell>
        </row>
        <row r="416">
          <cell r="AD416" t="str">
            <v>Vitamin B6 status (AST activation)</v>
          </cell>
        </row>
        <row r="417">
          <cell r="AD417" t="str">
            <v>Vitamin E (a-Tocopherol)</v>
          </cell>
        </row>
        <row r="418">
          <cell r="AD418" t="str">
            <v>Vitamin K (Phylloquinone)</v>
          </cell>
        </row>
        <row r="419">
          <cell r="AD419" t="str">
            <v>VLDL Cholesterol</v>
          </cell>
        </row>
        <row r="420">
          <cell r="AD420" t="str">
            <v>Von Willebrand factor</v>
          </cell>
        </row>
        <row r="421">
          <cell r="AD421" t="str">
            <v>Von Willebrand factor antigen</v>
          </cell>
        </row>
        <row r="422">
          <cell r="AD422" t="str">
            <v>Water</v>
          </cell>
        </row>
        <row r="423">
          <cell r="AD423" t="str">
            <v>Zeaxanthine</v>
          </cell>
        </row>
        <row r="424">
          <cell r="AD424" t="str">
            <v>Zinc (ricos 1)</v>
          </cell>
        </row>
        <row r="425">
          <cell r="AD425" t="str">
            <v>Zinc (ricos 2)</v>
          </cell>
        </row>
        <row r="426">
          <cell r="AD426" t="str">
            <v>Creatinine, output, 24h</v>
          </cell>
        </row>
        <row r="427">
          <cell r="AD427" t="str">
            <v>URINE</v>
          </cell>
        </row>
        <row r="428">
          <cell r="AD428" t="str">
            <v>4 OH-3 methoxi-Vanil mandelic acid (VMA)</v>
          </cell>
        </row>
        <row r="429">
          <cell r="AD429" t="str">
            <v>5'-Hydroxyindolacetate, concentration</v>
          </cell>
        </row>
        <row r="430">
          <cell r="AD430" t="str">
            <v>a1-Microglobulin, concentration, first morning</v>
          </cell>
        </row>
        <row r="431">
          <cell r="AD431" t="str">
            <v>a2-Microglobulin output, first morning</v>
          </cell>
        </row>
        <row r="432">
          <cell r="AD432" t="str">
            <v>a-Amylase concentration, random</v>
          </cell>
        </row>
        <row r="433">
          <cell r="AD433" t="str">
            <v>Albumin, concentration, first morning</v>
          </cell>
        </row>
        <row r="434">
          <cell r="AD434" t="str">
            <v>Aldosterone, concentration</v>
          </cell>
        </row>
        <row r="435">
          <cell r="AD435" t="str">
            <v>Ammonia, output, 24h</v>
          </cell>
        </row>
        <row r="436">
          <cell r="AD436" t="str">
            <v>Calcium, concentration, 24h</v>
          </cell>
        </row>
        <row r="437">
          <cell r="AD437" t="str">
            <v>Calcium, ionized</v>
          </cell>
        </row>
        <row r="438">
          <cell r="AD438" t="str">
            <v>Calcium, output, 24h</v>
          </cell>
        </row>
        <row r="439">
          <cell r="AD439" t="str">
            <v>C-Terminal cross-linking telopeptide  type I collagen (s-CTx)</v>
          </cell>
        </row>
        <row r="440">
          <cell r="AD440" t="str">
            <v>C-Telopeptide of type I collagen/creatinine, 1st morning</v>
          </cell>
        </row>
        <row r="441">
          <cell r="AD441" t="str">
            <v>C-Telopeptide type I collagen/creatinine, 2nd morning</v>
          </cell>
        </row>
        <row r="442">
          <cell r="AD442" t="str">
            <v>Creatinine, concentration, 24h</v>
          </cell>
        </row>
        <row r="443">
          <cell r="AD443" t="str">
            <v>Creatinine, output, 24h</v>
          </cell>
        </row>
        <row r="444">
          <cell r="AD444" t="str">
            <v>?-aminolevulinic acid</v>
          </cell>
        </row>
        <row r="445">
          <cell r="AD445" t="str">
            <v>Deoxypyridinoline/creatinine, 24h (Delmas CC 2001)</v>
          </cell>
        </row>
        <row r="446">
          <cell r="AD446" t="str">
            <v>Deoxypyridinoline/creatinine, first morning</v>
          </cell>
        </row>
        <row r="447">
          <cell r="AD447" t="str">
            <v>Deoxipyridinoline/minute</v>
          </cell>
        </row>
        <row r="448">
          <cell r="AD448" t="str">
            <v>Estradiol</v>
          </cell>
        </row>
        <row r="449">
          <cell r="AD449" t="str">
            <v>Free estradiol</v>
          </cell>
        </row>
        <row r="450">
          <cell r="AD450" t="str">
            <v>Free testosterone</v>
          </cell>
        </row>
        <row r="451">
          <cell r="AD451" t="str">
            <v>Hydroxyproline/minute, night urine</v>
          </cell>
        </row>
        <row r="452">
          <cell r="AD452" t="str">
            <v>Magnesium, concentration, 24h</v>
          </cell>
        </row>
        <row r="453">
          <cell r="AD453" t="str">
            <v>Magnesium, ionized</v>
          </cell>
        </row>
        <row r="454">
          <cell r="AD454" t="str">
            <v>Magnesium, output, 24h</v>
          </cell>
        </row>
        <row r="455">
          <cell r="AD455" t="str">
            <v>N-Acetyl Glucosaminidase, concentration, overnight</v>
          </cell>
        </row>
        <row r="456">
          <cell r="AD456" t="str">
            <v>Nitrogen, output</v>
          </cell>
        </row>
        <row r="457">
          <cell r="AD457" t="str">
            <v>N- Telopeptide of type I collagen /creatinine, first urine</v>
          </cell>
        </row>
        <row r="458">
          <cell r="AD458" t="str">
            <v>Oxalate, concentration, 24h</v>
          </cell>
        </row>
        <row r="459">
          <cell r="AD459" t="str">
            <v>Oxalate, output, 24h</v>
          </cell>
        </row>
        <row r="460">
          <cell r="AD460" t="str">
            <v>Phosphate, concentration, 24h</v>
          </cell>
        </row>
        <row r="461">
          <cell r="AD461" t="str">
            <v>Phosphate, output, 24h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5"/>
  <sheetViews>
    <sheetView showGridLines="0" tabSelected="1" zoomScale="85" zoomScaleNormal="85" workbookViewId="0">
      <selection activeCell="S47" sqref="S47"/>
    </sheetView>
  </sheetViews>
  <sheetFormatPr baseColWidth="10" defaultColWidth="10.85546875" defaultRowHeight="15" x14ac:dyDescent="0.25"/>
  <cols>
    <col min="1" max="1" width="5.5703125" style="41" customWidth="1"/>
    <col min="2" max="8" width="10.85546875" style="41"/>
    <col min="9" max="9" width="11.140625" style="41" bestFit="1" customWidth="1"/>
    <col min="10" max="10" width="12.42578125" style="41" bestFit="1" customWidth="1"/>
    <col min="11" max="11" width="11.140625" style="41" bestFit="1" customWidth="1"/>
    <col min="12" max="12" width="12.5703125" style="41" bestFit="1" customWidth="1"/>
    <col min="13" max="13" width="10.85546875" style="41"/>
    <col min="14" max="14" width="10.140625" style="41" customWidth="1"/>
    <col min="15" max="15" width="9.42578125" style="41" customWidth="1"/>
    <col min="16" max="16" width="12" style="41" customWidth="1"/>
    <col min="17" max="17" width="13.7109375" style="41" bestFit="1" customWidth="1"/>
    <col min="18" max="18" width="10.85546875" style="41"/>
    <col min="19" max="25" width="10.85546875" style="39"/>
    <col min="26" max="16384" width="10.85546875" style="41"/>
  </cols>
  <sheetData>
    <row r="1" spans="2:24" ht="15.75" thickBot="1" x14ac:dyDescent="0.3"/>
    <row r="2" spans="2:24" ht="30.75" customHeight="1" thickBot="1" x14ac:dyDescent="0.3">
      <c r="B2" s="274" t="s">
        <v>94</v>
      </c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6"/>
    </row>
    <row r="3" spans="2:24" x14ac:dyDescent="0.25">
      <c r="B3" s="74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6"/>
    </row>
    <row r="4" spans="2:24" x14ac:dyDescent="0.25">
      <c r="B4" s="77"/>
      <c r="C4" s="43"/>
      <c r="D4" s="43"/>
      <c r="E4" s="43"/>
      <c r="F4" s="43"/>
      <c r="G4" s="268" t="s">
        <v>73</v>
      </c>
      <c r="H4" s="268"/>
      <c r="I4" s="268"/>
      <c r="J4" s="268"/>
      <c r="K4" s="268"/>
      <c r="L4" s="268"/>
      <c r="M4" s="268"/>
      <c r="N4" s="268"/>
      <c r="O4" s="43"/>
      <c r="P4" s="43"/>
      <c r="Q4" s="43"/>
      <c r="R4" s="44"/>
    </row>
    <row r="5" spans="2:24" x14ac:dyDescent="0.25">
      <c r="B5" s="77"/>
      <c r="C5" s="272" t="s">
        <v>64</v>
      </c>
      <c r="D5" s="272"/>
      <c r="E5" s="272"/>
      <c r="F5" s="43"/>
      <c r="G5" s="69" t="s">
        <v>61</v>
      </c>
      <c r="H5" s="69" t="s">
        <v>67</v>
      </c>
      <c r="I5" s="69" t="s">
        <v>69</v>
      </c>
      <c r="J5" s="69" t="s">
        <v>70</v>
      </c>
      <c r="K5" s="69" t="s">
        <v>71</v>
      </c>
      <c r="L5" s="69" t="s">
        <v>74</v>
      </c>
      <c r="M5" s="69" t="s">
        <v>75</v>
      </c>
      <c r="N5" s="69" t="s">
        <v>76</v>
      </c>
      <c r="O5" s="47"/>
      <c r="P5" s="43"/>
      <c r="Q5" s="43"/>
      <c r="R5" s="38"/>
    </row>
    <row r="6" spans="2:24" x14ac:dyDescent="0.25">
      <c r="B6" s="77"/>
      <c r="C6" s="78" t="s">
        <v>61</v>
      </c>
      <c r="D6" s="79" t="s">
        <v>55</v>
      </c>
      <c r="E6" s="79"/>
      <c r="F6" s="43"/>
      <c r="G6" s="277" t="s">
        <v>65</v>
      </c>
      <c r="H6" s="72">
        <v>1</v>
      </c>
      <c r="I6" s="65">
        <v>30.684000000000001</v>
      </c>
      <c r="J6" s="65">
        <v>30.436</v>
      </c>
      <c r="K6" s="65">
        <v>30.451000000000001</v>
      </c>
      <c r="L6" s="73"/>
      <c r="M6" s="73"/>
      <c r="N6" s="73"/>
      <c r="O6" s="67">
        <f>+SUM(I6:N6)</f>
        <v>91.570999999999998</v>
      </c>
      <c r="P6" s="71" t="s">
        <v>12</v>
      </c>
      <c r="Q6" s="42">
        <v>25</v>
      </c>
      <c r="R6" s="38">
        <f>+Q6</f>
        <v>25</v>
      </c>
      <c r="S6" s="39">
        <v>0</v>
      </c>
      <c r="T6" s="40">
        <f>X63</f>
        <v>1.3559412807997311</v>
      </c>
      <c r="U6" s="39">
        <f>VAR(I6:N6)</f>
        <v>1.9336333333333469E-2</v>
      </c>
    </row>
    <row r="7" spans="2:24" x14ac:dyDescent="0.25">
      <c r="B7" s="77"/>
      <c r="C7" s="78" t="s">
        <v>67</v>
      </c>
      <c r="D7" s="79" t="s">
        <v>68</v>
      </c>
      <c r="E7" s="79"/>
      <c r="F7" s="43"/>
      <c r="G7" s="278"/>
      <c r="H7" s="72">
        <v>2</v>
      </c>
      <c r="I7" s="65">
        <v>30.943000000000001</v>
      </c>
      <c r="J7" s="65">
        <v>30.408000000000001</v>
      </c>
      <c r="K7" s="65">
        <v>30.213999999999999</v>
      </c>
      <c r="L7" s="73"/>
      <c r="M7" s="73"/>
      <c r="N7" s="73"/>
      <c r="O7" s="67">
        <f t="shared" ref="O7:O35" si="0">+SUM(I7:N7)</f>
        <v>91.564999999999998</v>
      </c>
      <c r="P7" s="71" t="s">
        <v>11</v>
      </c>
      <c r="Q7" s="42">
        <v>35</v>
      </c>
      <c r="R7" s="38">
        <f>+Q7</f>
        <v>35</v>
      </c>
      <c r="S7" s="39">
        <v>0</v>
      </c>
      <c r="T7" s="40">
        <f>T6</f>
        <v>1.3559412807997311</v>
      </c>
      <c r="U7" s="39">
        <f t="shared" ref="U7:U35" si="1">VAR(I7:N7)</f>
        <v>0.14255033333333419</v>
      </c>
    </row>
    <row r="8" spans="2:24" x14ac:dyDescent="0.25">
      <c r="B8" s="77"/>
      <c r="C8" s="80"/>
      <c r="D8" s="43"/>
      <c r="E8" s="43"/>
      <c r="F8" s="43"/>
      <c r="G8" s="278"/>
      <c r="H8" s="72">
        <v>3</v>
      </c>
      <c r="I8" s="65">
        <v>30.896000000000001</v>
      </c>
      <c r="J8" s="65">
        <v>30.419</v>
      </c>
      <c r="K8" s="65">
        <v>30.373999999999999</v>
      </c>
      <c r="L8" s="73"/>
      <c r="M8" s="73"/>
      <c r="N8" s="73"/>
      <c r="O8" s="67">
        <f t="shared" si="0"/>
        <v>91.688999999999993</v>
      </c>
      <c r="P8" s="66"/>
      <c r="Q8" s="66"/>
      <c r="R8" s="44"/>
      <c r="T8" s="40"/>
      <c r="U8" s="39">
        <f t="shared" si="1"/>
        <v>8.3673000000000428E-2</v>
      </c>
    </row>
    <row r="9" spans="2:24" x14ac:dyDescent="0.25">
      <c r="B9" s="77"/>
      <c r="C9" s="43" t="s">
        <v>83</v>
      </c>
      <c r="D9" s="43"/>
      <c r="E9" s="43"/>
      <c r="F9" s="43"/>
      <c r="G9" s="278"/>
      <c r="H9" s="72">
        <v>4</v>
      </c>
      <c r="I9" s="65">
        <v>30.989000000000001</v>
      </c>
      <c r="J9" s="65">
        <v>30.004000000000001</v>
      </c>
      <c r="K9" s="65">
        <v>30.271999999999998</v>
      </c>
      <c r="L9" s="73"/>
      <c r="M9" s="73"/>
      <c r="N9" s="73"/>
      <c r="O9" s="67">
        <f t="shared" si="0"/>
        <v>91.265000000000001</v>
      </c>
      <c r="P9" s="71" t="s">
        <v>13</v>
      </c>
      <c r="Q9" s="51">
        <f>AVERAGE(I6:N35)</f>
        <v>30.531644444444435</v>
      </c>
      <c r="R9" s="44"/>
      <c r="T9" s="40"/>
      <c r="U9" s="39">
        <f t="shared" si="1"/>
        <v>0.25935633333333347</v>
      </c>
    </row>
    <row r="10" spans="2:24" x14ac:dyDescent="0.25">
      <c r="B10" s="77"/>
      <c r="C10" s="43" t="s">
        <v>77</v>
      </c>
      <c r="D10" s="43"/>
      <c r="E10" s="43"/>
      <c r="F10" s="43"/>
      <c r="G10" s="278"/>
      <c r="H10" s="72">
        <v>5</v>
      </c>
      <c r="I10" s="65">
        <v>30.166</v>
      </c>
      <c r="J10" s="65">
        <v>30.826000000000001</v>
      </c>
      <c r="K10" s="65">
        <v>30.63</v>
      </c>
      <c r="L10" s="73"/>
      <c r="M10" s="73"/>
      <c r="N10" s="73"/>
      <c r="O10" s="67">
        <f t="shared" si="0"/>
        <v>91.622</v>
      </c>
      <c r="P10" s="71" t="s">
        <v>58</v>
      </c>
      <c r="Q10" s="51">
        <f>I58</f>
        <v>8.6564209238451914E-2</v>
      </c>
      <c r="R10" s="44"/>
      <c r="T10" s="40"/>
      <c r="U10" s="39">
        <f t="shared" si="1"/>
        <v>0.11488533333333324</v>
      </c>
    </row>
    <row r="11" spans="2:24" x14ac:dyDescent="0.25">
      <c r="B11" s="77"/>
      <c r="C11" s="43" t="s">
        <v>78</v>
      </c>
      <c r="D11" s="43"/>
      <c r="E11" s="43"/>
      <c r="F11" s="43"/>
      <c r="G11" s="278"/>
      <c r="H11" s="72">
        <v>6</v>
      </c>
      <c r="I11" s="65">
        <v>30.515000000000001</v>
      </c>
      <c r="J11" s="65">
        <v>30.846</v>
      </c>
      <c r="K11" s="65">
        <v>30.018999999999998</v>
      </c>
      <c r="L11" s="73"/>
      <c r="M11" s="73"/>
      <c r="N11" s="73"/>
      <c r="O11" s="67">
        <f t="shared" si="0"/>
        <v>91.38</v>
      </c>
      <c r="P11" s="70" t="s">
        <v>59</v>
      </c>
      <c r="Q11" s="51">
        <f>SQRT(Q10)</f>
        <v>0.29421796212748791</v>
      </c>
      <c r="R11" s="44"/>
      <c r="T11" s="40"/>
      <c r="U11" s="39">
        <f t="shared" si="1"/>
        <v>0.17325100000000079</v>
      </c>
    </row>
    <row r="12" spans="2:24" x14ac:dyDescent="0.25">
      <c r="B12" s="77"/>
      <c r="C12" s="43" t="s">
        <v>127</v>
      </c>
      <c r="D12" s="43"/>
      <c r="E12" s="43"/>
      <c r="F12" s="43"/>
      <c r="G12" s="278"/>
      <c r="H12" s="72">
        <v>7</v>
      </c>
      <c r="I12" s="65">
        <v>30.382000000000001</v>
      </c>
      <c r="J12" s="65">
        <v>30.954000000000001</v>
      </c>
      <c r="K12" s="65">
        <v>30.677</v>
      </c>
      <c r="L12" s="73"/>
      <c r="M12" s="73"/>
      <c r="N12" s="73"/>
      <c r="O12" s="67">
        <f t="shared" si="0"/>
        <v>92.013000000000005</v>
      </c>
      <c r="P12" s="70" t="s">
        <v>14</v>
      </c>
      <c r="Q12" s="51">
        <f>MIN(I6:N35)</f>
        <v>30.001000000000001</v>
      </c>
      <c r="R12" s="44"/>
      <c r="T12" s="40"/>
      <c r="U12" s="39">
        <f t="shared" si="1"/>
        <v>8.1822999999999757E-2</v>
      </c>
    </row>
    <row r="13" spans="2:24" x14ac:dyDescent="0.25">
      <c r="B13" s="77"/>
      <c r="C13" s="43" t="s">
        <v>87</v>
      </c>
      <c r="D13" s="43"/>
      <c r="E13" s="43"/>
      <c r="F13" s="43"/>
      <c r="G13" s="278"/>
      <c r="H13" s="72">
        <v>8</v>
      </c>
      <c r="I13" s="65">
        <v>30.431000000000001</v>
      </c>
      <c r="J13" s="65">
        <v>30.158000000000001</v>
      </c>
      <c r="K13" s="65">
        <v>30.007000000000001</v>
      </c>
      <c r="L13" s="73"/>
      <c r="M13" s="73"/>
      <c r="N13" s="73"/>
      <c r="O13" s="67">
        <f t="shared" si="0"/>
        <v>90.596000000000004</v>
      </c>
      <c r="P13" s="70" t="s">
        <v>15</v>
      </c>
      <c r="Q13" s="51">
        <f>MAX(I6:N35)</f>
        <v>30.992999999999999</v>
      </c>
      <c r="R13" s="44"/>
      <c r="T13" s="40"/>
      <c r="U13" s="39">
        <f t="shared" si="1"/>
        <v>4.6184333333333223E-2</v>
      </c>
    </row>
    <row r="14" spans="2:24" x14ac:dyDescent="0.25">
      <c r="B14" s="77"/>
      <c r="C14" s="81" t="s">
        <v>88</v>
      </c>
      <c r="D14" s="43"/>
      <c r="E14" s="43"/>
      <c r="F14" s="43"/>
      <c r="G14" s="278"/>
      <c r="H14" s="72">
        <v>9</v>
      </c>
      <c r="I14" s="65">
        <v>30.7</v>
      </c>
      <c r="J14" s="65">
        <v>30.695</v>
      </c>
      <c r="K14" s="65">
        <v>30.634</v>
      </c>
      <c r="L14" s="73"/>
      <c r="M14" s="73"/>
      <c r="N14" s="73"/>
      <c r="O14" s="67">
        <f t="shared" si="0"/>
        <v>92.028999999999996</v>
      </c>
      <c r="R14" s="44"/>
      <c r="T14" s="40"/>
      <c r="U14" s="39">
        <f t="shared" si="1"/>
        <v>1.3503333333333076E-3</v>
      </c>
    </row>
    <row r="15" spans="2:24" x14ac:dyDescent="0.25">
      <c r="B15" s="77"/>
      <c r="C15" s="43"/>
      <c r="D15" s="43"/>
      <c r="E15" s="43"/>
      <c r="F15" s="43"/>
      <c r="G15" s="279"/>
      <c r="H15" s="72">
        <v>10</v>
      </c>
      <c r="I15" s="65">
        <v>30.468</v>
      </c>
      <c r="J15" s="65">
        <v>30.108000000000001</v>
      </c>
      <c r="K15" s="65">
        <v>30.965</v>
      </c>
      <c r="L15" s="73"/>
      <c r="M15" s="73"/>
      <c r="N15" s="73"/>
      <c r="O15" s="67">
        <f t="shared" si="0"/>
        <v>91.540999999999997</v>
      </c>
      <c r="P15" s="71" t="s">
        <v>122</v>
      </c>
      <c r="Q15" s="51">
        <f>(Q7-Q6)/(6*SQRT(K60))</f>
        <v>5.5325070563726237</v>
      </c>
      <c r="R15" s="44" t="s">
        <v>125</v>
      </c>
      <c r="U15" s="39">
        <f t="shared" si="1"/>
        <v>0.18517633333333305</v>
      </c>
      <c r="V15" s="45"/>
      <c r="W15" s="271"/>
      <c r="X15" s="271"/>
    </row>
    <row r="16" spans="2:24" x14ac:dyDescent="0.25">
      <c r="B16" s="77"/>
      <c r="D16" s="43"/>
      <c r="E16" s="43"/>
      <c r="F16" s="43"/>
      <c r="G16" s="277" t="s">
        <v>62</v>
      </c>
      <c r="H16" s="72">
        <v>1</v>
      </c>
      <c r="I16" s="65">
        <v>30.823</v>
      </c>
      <c r="J16" s="65">
        <v>30.93</v>
      </c>
      <c r="K16" s="65">
        <v>30.359000000000002</v>
      </c>
      <c r="L16" s="73"/>
      <c r="M16" s="73"/>
      <c r="N16" s="73"/>
      <c r="O16" s="67">
        <f t="shared" si="0"/>
        <v>92.111999999999995</v>
      </c>
      <c r="P16" s="71" t="s">
        <v>123</v>
      </c>
      <c r="Q16" s="99">
        <f>SQRT(N57)/((Q7-Q6)/6)</f>
        <v>0.18074988243316364</v>
      </c>
      <c r="R16" s="44" t="s">
        <v>126</v>
      </c>
      <c r="U16" s="39">
        <f t="shared" si="1"/>
        <v>9.213099999999938E-2</v>
      </c>
      <c r="V16" s="46"/>
      <c r="W16" s="47"/>
      <c r="X16" s="47"/>
    </row>
    <row r="17" spans="2:24" x14ac:dyDescent="0.25">
      <c r="B17" s="77"/>
      <c r="C17" s="43"/>
      <c r="D17" s="43"/>
      <c r="E17" s="43"/>
      <c r="F17" s="43"/>
      <c r="G17" s="278"/>
      <c r="H17" s="72">
        <v>2</v>
      </c>
      <c r="I17" s="65">
        <v>30.841000000000001</v>
      </c>
      <c r="J17" s="65">
        <v>30.378</v>
      </c>
      <c r="K17" s="65">
        <v>30.442</v>
      </c>
      <c r="L17" s="73"/>
      <c r="M17" s="73"/>
      <c r="N17" s="73"/>
      <c r="O17" s="67">
        <f t="shared" si="0"/>
        <v>91.661000000000001</v>
      </c>
      <c r="P17" s="98" t="s">
        <v>124</v>
      </c>
      <c r="Q17" s="98"/>
      <c r="R17" s="44"/>
      <c r="U17" s="39">
        <f t="shared" si="1"/>
        <v>6.2944333333333602E-2</v>
      </c>
      <c r="V17" s="46"/>
      <c r="W17" s="47"/>
      <c r="X17" s="47"/>
    </row>
    <row r="18" spans="2:24" x14ac:dyDescent="0.25">
      <c r="B18" s="77"/>
      <c r="C18" s="43"/>
      <c r="D18" s="43"/>
      <c r="E18" s="43"/>
      <c r="F18" s="43"/>
      <c r="G18" s="278"/>
      <c r="H18" s="72">
        <v>3</v>
      </c>
      <c r="I18" s="65">
        <v>30.981000000000002</v>
      </c>
      <c r="J18" s="65">
        <v>30.001000000000001</v>
      </c>
      <c r="K18" s="65">
        <v>30.648</v>
      </c>
      <c r="L18" s="73"/>
      <c r="M18" s="73"/>
      <c r="N18" s="73"/>
      <c r="O18" s="67">
        <f t="shared" si="0"/>
        <v>91.63</v>
      </c>
      <c r="R18" s="44"/>
      <c r="U18" s="39">
        <f t="shared" si="1"/>
        <v>0.24831633333333336</v>
      </c>
      <c r="V18" s="46"/>
      <c r="W18" s="47"/>
      <c r="X18" s="47"/>
    </row>
    <row r="19" spans="2:24" x14ac:dyDescent="0.25">
      <c r="B19" s="77"/>
      <c r="C19" s="43"/>
      <c r="D19" s="43"/>
      <c r="E19" s="43"/>
      <c r="F19" s="43"/>
      <c r="G19" s="278"/>
      <c r="H19" s="72">
        <v>4</v>
      </c>
      <c r="I19" s="65">
        <v>30.689</v>
      </c>
      <c r="J19" s="65">
        <v>30.62</v>
      </c>
      <c r="K19" s="65">
        <v>30.428999999999998</v>
      </c>
      <c r="L19" s="73"/>
      <c r="M19" s="73"/>
      <c r="N19" s="73"/>
      <c r="O19" s="67">
        <f t="shared" si="0"/>
        <v>91.738</v>
      </c>
      <c r="P19" s="136" t="s">
        <v>177</v>
      </c>
      <c r="Q19" s="91">
        <f>(Q7-Q6)/(6*SQRT(I58))</f>
        <v>5.6647345886532969</v>
      </c>
      <c r="R19" s="44" t="s">
        <v>178</v>
      </c>
      <c r="U19" s="39">
        <f t="shared" si="1"/>
        <v>1.8140333333333605E-2</v>
      </c>
      <c r="V19" s="46"/>
      <c r="W19" s="47"/>
      <c r="X19" s="47"/>
    </row>
    <row r="20" spans="2:24" x14ac:dyDescent="0.25">
      <c r="B20" s="77"/>
      <c r="C20" s="43"/>
      <c r="D20" s="43"/>
      <c r="E20" s="43"/>
      <c r="F20" s="43"/>
      <c r="G20" s="278"/>
      <c r="H20" s="72">
        <v>5</v>
      </c>
      <c r="I20" s="65">
        <v>30.946000000000002</v>
      </c>
      <c r="J20" s="65">
        <v>30.405999999999999</v>
      </c>
      <c r="K20" s="65">
        <v>30.684000000000001</v>
      </c>
      <c r="L20" s="73"/>
      <c r="M20" s="73"/>
      <c r="N20" s="73"/>
      <c r="O20" s="67">
        <f t="shared" si="0"/>
        <v>92.036000000000001</v>
      </c>
      <c r="R20" s="44"/>
      <c r="U20" s="39">
        <f t="shared" si="1"/>
        <v>7.292133333333406E-2</v>
      </c>
      <c r="V20" s="46"/>
      <c r="W20" s="47"/>
      <c r="X20" s="47"/>
    </row>
    <row r="21" spans="2:24" x14ac:dyDescent="0.25">
      <c r="B21" s="77"/>
      <c r="C21" s="43"/>
      <c r="D21" s="43"/>
      <c r="E21" s="43"/>
      <c r="F21" s="43"/>
      <c r="G21" s="278"/>
      <c r="H21" s="72">
        <v>6</v>
      </c>
      <c r="I21" s="65">
        <v>30.24</v>
      </c>
      <c r="J21" s="65">
        <v>30.829000000000001</v>
      </c>
      <c r="K21" s="65">
        <v>30.558</v>
      </c>
      <c r="L21" s="73"/>
      <c r="M21" s="73"/>
      <c r="N21" s="73"/>
      <c r="O21" s="67">
        <f t="shared" si="0"/>
        <v>91.62700000000001</v>
      </c>
      <c r="R21" s="44"/>
      <c r="U21" s="39">
        <f t="shared" si="1"/>
        <v>8.6914333333333982E-2</v>
      </c>
      <c r="V21" s="46"/>
      <c r="W21" s="47"/>
      <c r="X21" s="47"/>
    </row>
    <row r="22" spans="2:24" x14ac:dyDescent="0.25">
      <c r="B22" s="77"/>
      <c r="C22" s="43"/>
      <c r="D22" s="43"/>
      <c r="E22" s="43"/>
      <c r="F22" s="43"/>
      <c r="G22" s="278"/>
      <c r="H22" s="72">
        <v>7</v>
      </c>
      <c r="I22" s="65">
        <v>30.15</v>
      </c>
      <c r="J22" s="65">
        <v>30.61</v>
      </c>
      <c r="K22" s="65">
        <v>30.196999999999999</v>
      </c>
      <c r="L22" s="73"/>
      <c r="M22" s="73"/>
      <c r="N22" s="73"/>
      <c r="O22" s="67">
        <f t="shared" si="0"/>
        <v>90.956999999999994</v>
      </c>
      <c r="R22" s="44"/>
      <c r="U22" s="39">
        <f t="shared" si="1"/>
        <v>6.4063000000000175E-2</v>
      </c>
      <c r="V22" s="46"/>
      <c r="W22" s="47"/>
      <c r="X22" s="47"/>
    </row>
    <row r="23" spans="2:24" x14ac:dyDescent="0.25">
      <c r="B23" s="77"/>
      <c r="D23" s="43"/>
      <c r="E23" s="43"/>
      <c r="F23" s="43"/>
      <c r="G23" s="278"/>
      <c r="H23" s="72">
        <v>8</v>
      </c>
      <c r="I23" s="65">
        <v>30.722000000000001</v>
      </c>
      <c r="J23" s="65">
        <v>30.591999999999999</v>
      </c>
      <c r="K23" s="65">
        <v>30.66</v>
      </c>
      <c r="L23" s="73"/>
      <c r="M23" s="73"/>
      <c r="N23" s="73"/>
      <c r="O23" s="67">
        <f t="shared" si="0"/>
        <v>91.974000000000004</v>
      </c>
      <c r="R23" s="44"/>
      <c r="U23" s="39">
        <f t="shared" si="1"/>
        <v>4.2280000000001665E-3</v>
      </c>
    </row>
    <row r="24" spans="2:24" x14ac:dyDescent="0.25">
      <c r="B24" s="77"/>
      <c r="C24" s="43"/>
      <c r="D24" s="43"/>
      <c r="E24" s="43"/>
      <c r="F24" s="43"/>
      <c r="G24" s="278"/>
      <c r="H24" s="72">
        <v>9</v>
      </c>
      <c r="I24" s="65">
        <v>30.004000000000001</v>
      </c>
      <c r="J24" s="65">
        <v>30.59</v>
      </c>
      <c r="K24" s="65">
        <v>30.167000000000002</v>
      </c>
      <c r="L24" s="73"/>
      <c r="M24" s="73"/>
      <c r="N24" s="73"/>
      <c r="O24" s="67">
        <f t="shared" si="0"/>
        <v>90.760999999999996</v>
      </c>
      <c r="R24" s="44"/>
      <c r="U24" s="39">
        <f t="shared" si="1"/>
        <v>9.1482333333332819E-2</v>
      </c>
    </row>
    <row r="25" spans="2:24" x14ac:dyDescent="0.25">
      <c r="B25" s="77"/>
      <c r="D25" s="43"/>
      <c r="E25" s="43"/>
      <c r="F25" s="43"/>
      <c r="G25" s="279"/>
      <c r="H25" s="72">
        <v>10</v>
      </c>
      <c r="I25" s="65">
        <v>30.663</v>
      </c>
      <c r="J25" s="65">
        <v>30.759</v>
      </c>
      <c r="K25" s="65">
        <v>30.254000000000001</v>
      </c>
      <c r="L25" s="73"/>
      <c r="M25" s="73"/>
      <c r="N25" s="73"/>
      <c r="O25" s="67">
        <f t="shared" si="0"/>
        <v>91.676000000000002</v>
      </c>
      <c r="R25" s="44"/>
      <c r="U25" s="39">
        <f t="shared" si="1"/>
        <v>7.1920333333333017E-2</v>
      </c>
      <c r="V25" s="47"/>
      <c r="W25" s="47"/>
      <c r="X25" s="47"/>
    </row>
    <row r="26" spans="2:24" x14ac:dyDescent="0.25">
      <c r="B26" s="77"/>
      <c r="D26" s="43"/>
      <c r="E26" s="43"/>
      <c r="F26" s="43"/>
      <c r="G26" s="277" t="s">
        <v>63</v>
      </c>
      <c r="H26" s="72">
        <v>1</v>
      </c>
      <c r="I26" s="65">
        <v>30.936</v>
      </c>
      <c r="J26" s="65">
        <v>30.686</v>
      </c>
      <c r="K26" s="65">
        <v>30.631</v>
      </c>
      <c r="L26" s="73"/>
      <c r="M26" s="73"/>
      <c r="N26" s="73"/>
      <c r="O26" s="67">
        <f t="shared" si="0"/>
        <v>92.253</v>
      </c>
      <c r="R26" s="44"/>
      <c r="U26" s="39">
        <f t="shared" si="1"/>
        <v>2.6424999999999966E-2</v>
      </c>
    </row>
    <row r="27" spans="2:24" x14ac:dyDescent="0.25">
      <c r="B27" s="77"/>
      <c r="C27" s="43"/>
      <c r="D27" s="43"/>
      <c r="E27" s="43"/>
      <c r="F27" s="43"/>
      <c r="G27" s="278"/>
      <c r="H27" s="72">
        <v>2</v>
      </c>
      <c r="I27" s="65">
        <v>30.135999999999999</v>
      </c>
      <c r="J27" s="65">
        <v>30.661000000000001</v>
      </c>
      <c r="K27" s="65">
        <v>30.216000000000001</v>
      </c>
      <c r="L27" s="73"/>
      <c r="M27" s="73"/>
      <c r="N27" s="73"/>
      <c r="O27" s="67">
        <f t="shared" si="0"/>
        <v>91.013000000000005</v>
      </c>
      <c r="R27" s="44"/>
      <c r="U27" s="39">
        <f t="shared" si="1"/>
        <v>8.0008333333333792E-2</v>
      </c>
      <c r="V27" s="48"/>
      <c r="W27" s="49"/>
      <c r="X27" s="50"/>
    </row>
    <row r="28" spans="2:24" x14ac:dyDescent="0.25">
      <c r="B28" s="77"/>
      <c r="C28" s="43"/>
      <c r="D28" s="43"/>
      <c r="E28" s="43"/>
      <c r="F28" s="43"/>
      <c r="G28" s="278"/>
      <c r="H28" s="72">
        <v>3</v>
      </c>
      <c r="I28" s="65">
        <v>30.713999999999999</v>
      </c>
      <c r="J28" s="65">
        <v>30.094000000000001</v>
      </c>
      <c r="K28" s="65">
        <v>30.204000000000001</v>
      </c>
      <c r="L28" s="73"/>
      <c r="M28" s="73"/>
      <c r="N28" s="73"/>
      <c r="O28" s="67">
        <f t="shared" si="0"/>
        <v>91.012</v>
      </c>
      <c r="R28" s="44"/>
      <c r="U28" s="39">
        <f t="shared" si="1"/>
        <v>0.10943333333333244</v>
      </c>
      <c r="V28" s="48"/>
      <c r="W28" s="49"/>
      <c r="X28" s="50"/>
    </row>
    <row r="29" spans="2:24" x14ac:dyDescent="0.25">
      <c r="B29" s="77"/>
      <c r="C29" s="43"/>
      <c r="D29" s="43"/>
      <c r="E29" s="43"/>
      <c r="F29" s="43"/>
      <c r="G29" s="278"/>
      <c r="H29" s="72">
        <v>4</v>
      </c>
      <c r="I29" s="65">
        <v>30.449000000000002</v>
      </c>
      <c r="J29" s="65">
        <v>30.678000000000001</v>
      </c>
      <c r="K29" s="65">
        <v>30.992999999999999</v>
      </c>
      <c r="L29" s="73"/>
      <c r="M29" s="73"/>
      <c r="N29" s="73"/>
      <c r="O29" s="67">
        <f t="shared" si="0"/>
        <v>92.12</v>
      </c>
      <c r="R29" s="44"/>
      <c r="U29" s="39">
        <f t="shared" si="1"/>
        <v>7.4600333333332478E-2</v>
      </c>
      <c r="V29" s="48"/>
      <c r="W29" s="49"/>
      <c r="X29" s="50"/>
    </row>
    <row r="30" spans="2:24" x14ac:dyDescent="0.25">
      <c r="B30" s="77"/>
      <c r="C30" s="43"/>
      <c r="D30" s="43"/>
      <c r="E30" s="43"/>
      <c r="F30" s="43"/>
      <c r="G30" s="278"/>
      <c r="H30" s="72">
        <v>5</v>
      </c>
      <c r="I30" s="65">
        <v>30.891999999999999</v>
      </c>
      <c r="J30" s="65">
        <v>30.888000000000002</v>
      </c>
      <c r="K30" s="65">
        <v>30.344000000000001</v>
      </c>
      <c r="L30" s="73"/>
      <c r="M30" s="73"/>
      <c r="N30" s="73"/>
      <c r="O30" s="67">
        <f t="shared" si="0"/>
        <v>92.123999999999995</v>
      </c>
      <c r="R30" s="44"/>
      <c r="U30" s="39">
        <f t="shared" si="1"/>
        <v>9.937599999999977E-2</v>
      </c>
      <c r="V30" s="48"/>
      <c r="W30" s="49"/>
      <c r="X30" s="50"/>
    </row>
    <row r="31" spans="2:24" x14ac:dyDescent="0.25">
      <c r="B31" s="77"/>
      <c r="C31" s="43"/>
      <c r="D31" s="43"/>
      <c r="E31" s="43"/>
      <c r="F31" s="43"/>
      <c r="G31" s="278"/>
      <c r="H31" s="72">
        <v>6</v>
      </c>
      <c r="I31" s="65">
        <v>30.891999999999999</v>
      </c>
      <c r="J31" s="65">
        <v>30.033000000000001</v>
      </c>
      <c r="K31" s="65">
        <v>30.931000000000001</v>
      </c>
      <c r="L31" s="73"/>
      <c r="M31" s="73"/>
      <c r="N31" s="73"/>
      <c r="O31" s="67">
        <f t="shared" si="0"/>
        <v>91.855999999999995</v>
      </c>
      <c r="R31" s="44"/>
      <c r="U31" s="39">
        <f t="shared" si="1"/>
        <v>0.25763433333333274</v>
      </c>
      <c r="V31" s="48"/>
      <c r="W31" s="49"/>
      <c r="X31" s="50"/>
    </row>
    <row r="32" spans="2:24" x14ac:dyDescent="0.25">
      <c r="B32" s="77"/>
      <c r="C32" s="43"/>
      <c r="D32" s="43"/>
      <c r="E32" s="43"/>
      <c r="F32" s="43"/>
      <c r="G32" s="278"/>
      <c r="H32" s="72">
        <v>7</v>
      </c>
      <c r="I32" s="65">
        <v>30.579000000000001</v>
      </c>
      <c r="J32" s="65">
        <v>30.364999999999998</v>
      </c>
      <c r="K32" s="65">
        <v>30.381</v>
      </c>
      <c r="L32" s="73"/>
      <c r="M32" s="73"/>
      <c r="N32" s="73"/>
      <c r="O32" s="67">
        <f t="shared" si="0"/>
        <v>91.325000000000003</v>
      </c>
      <c r="R32" s="44"/>
      <c r="U32" s="39">
        <f t="shared" si="1"/>
        <v>1.4209333333333527E-2</v>
      </c>
      <c r="V32" s="48"/>
      <c r="W32" s="49"/>
      <c r="X32" s="50"/>
    </row>
    <row r="33" spans="2:24" x14ac:dyDescent="0.25">
      <c r="B33" s="77"/>
      <c r="C33" s="43"/>
      <c r="D33" s="43"/>
      <c r="E33" s="43"/>
      <c r="F33" s="43"/>
      <c r="G33" s="278"/>
      <c r="H33" s="72">
        <v>8</v>
      </c>
      <c r="I33" s="65">
        <v>30.791</v>
      </c>
      <c r="J33" s="65">
        <v>30.471</v>
      </c>
      <c r="K33" s="65">
        <v>30.722000000000001</v>
      </c>
      <c r="L33" s="73"/>
      <c r="M33" s="73"/>
      <c r="N33" s="73"/>
      <c r="O33" s="67">
        <f t="shared" si="0"/>
        <v>91.984000000000009</v>
      </c>
      <c r="R33" s="44"/>
      <c r="U33" s="39">
        <f t="shared" si="1"/>
        <v>2.8360333333333446E-2</v>
      </c>
      <c r="V33" s="48"/>
      <c r="W33" s="49"/>
      <c r="X33" s="50"/>
    </row>
    <row r="34" spans="2:24" x14ac:dyDescent="0.25">
      <c r="B34" s="77"/>
      <c r="C34" s="43"/>
      <c r="D34" s="43"/>
      <c r="E34" s="43"/>
      <c r="F34" s="43"/>
      <c r="G34" s="278"/>
      <c r="H34" s="72">
        <v>9</v>
      </c>
      <c r="I34" s="65">
        <v>30.183</v>
      </c>
      <c r="J34" s="65">
        <v>30.202999999999999</v>
      </c>
      <c r="K34" s="65">
        <v>30.126000000000001</v>
      </c>
      <c r="L34" s="73"/>
      <c r="M34" s="73"/>
      <c r="N34" s="73"/>
      <c r="O34" s="67">
        <f t="shared" si="0"/>
        <v>90.512</v>
      </c>
      <c r="R34" s="44"/>
      <c r="U34" s="39">
        <f t="shared" si="1"/>
        <v>1.5963333333332572E-3</v>
      </c>
      <c r="V34" s="48">
        <v>-3</v>
      </c>
      <c r="W34" s="49">
        <f t="shared" ref="W34:W65" si="2">Q$9+V34*SQRT(Q$10)</f>
        <v>29.648990558061971</v>
      </c>
      <c r="X34" s="50">
        <f t="shared" ref="X34:X65" si="3">NORMDIST(W34,Q$9,SQRT(Q$10),0)</f>
        <v>1.5063146994464049E-2</v>
      </c>
    </row>
    <row r="35" spans="2:24" x14ac:dyDescent="0.25">
      <c r="B35" s="77"/>
      <c r="C35" s="43"/>
      <c r="D35" s="43"/>
      <c r="E35" s="43"/>
      <c r="F35" s="43"/>
      <c r="G35" s="279"/>
      <c r="H35" s="72">
        <v>10</v>
      </c>
      <c r="I35" s="65">
        <v>30.986999999999998</v>
      </c>
      <c r="J35" s="65">
        <v>30.359000000000002</v>
      </c>
      <c r="K35" s="65">
        <v>30.86</v>
      </c>
      <c r="L35" s="73"/>
      <c r="M35" s="73"/>
      <c r="N35" s="73"/>
      <c r="O35" s="67">
        <f t="shared" si="0"/>
        <v>92.206000000000003</v>
      </c>
      <c r="R35" s="44"/>
      <c r="U35" s="39">
        <f t="shared" si="1"/>
        <v>0.11025233333333218</v>
      </c>
      <c r="V35" s="48">
        <v>-2.9</v>
      </c>
      <c r="W35" s="49">
        <f t="shared" si="2"/>
        <v>29.67841235427472</v>
      </c>
      <c r="X35" s="50">
        <f t="shared" si="3"/>
        <v>2.0231709773030543E-2</v>
      </c>
    </row>
    <row r="36" spans="2:24" x14ac:dyDescent="0.25">
      <c r="B36" s="77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82"/>
      <c r="O36" s="47"/>
      <c r="P36" s="43"/>
      <c r="Q36" s="43"/>
      <c r="R36" s="44"/>
      <c r="V36" s="48">
        <v>-2.7</v>
      </c>
      <c r="W36" s="49">
        <f t="shared" si="2"/>
        <v>29.737255946700216</v>
      </c>
      <c r="X36" s="50">
        <f t="shared" si="3"/>
        <v>3.5419097933616119E-2</v>
      </c>
    </row>
    <row r="37" spans="2:24" ht="15.75" thickBot="1" x14ac:dyDescent="0.3">
      <c r="B37" s="83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5"/>
      <c r="O37" s="84"/>
      <c r="P37" s="84"/>
      <c r="Q37" s="84"/>
      <c r="R37" s="86"/>
      <c r="V37" s="48">
        <v>-2.6</v>
      </c>
      <c r="W37" s="49">
        <f t="shared" si="2"/>
        <v>29.766677742912968</v>
      </c>
      <c r="X37" s="50">
        <f t="shared" si="3"/>
        <v>4.6166349380804175E-2</v>
      </c>
    </row>
    <row r="38" spans="2:24" x14ac:dyDescent="0.25">
      <c r="B38" s="87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9"/>
      <c r="O38" s="88"/>
      <c r="P38" s="88"/>
      <c r="Q38" s="88"/>
      <c r="R38" s="90"/>
      <c r="V38" s="48">
        <v>-2.5</v>
      </c>
      <c r="W38" s="49">
        <f t="shared" si="2"/>
        <v>29.796099539125716</v>
      </c>
      <c r="X38" s="50">
        <f t="shared" si="3"/>
        <v>5.9575902051736393E-2</v>
      </c>
    </row>
    <row r="39" spans="2:24" x14ac:dyDescent="0.25">
      <c r="B39" s="77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4"/>
      <c r="V39" s="48">
        <v>-2.4</v>
      </c>
      <c r="W39" s="49">
        <f t="shared" si="2"/>
        <v>29.825521335338465</v>
      </c>
      <c r="X39" s="50">
        <f t="shared" si="3"/>
        <v>7.6115442214704829E-2</v>
      </c>
    </row>
    <row r="40" spans="2:24" x14ac:dyDescent="0.25">
      <c r="B40" s="77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4"/>
      <c r="V40" s="48">
        <v>-2.2999999999999998</v>
      </c>
      <c r="W40" s="49">
        <f t="shared" si="2"/>
        <v>29.854943131551213</v>
      </c>
      <c r="X40" s="50">
        <f t="shared" si="3"/>
        <v>9.6279090293361458E-2</v>
      </c>
    </row>
    <row r="41" spans="2:24" x14ac:dyDescent="0.25">
      <c r="B41" s="77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4"/>
      <c r="V41" s="48">
        <v>-2.2000000000000002</v>
      </c>
      <c r="W41" s="49">
        <f t="shared" si="2"/>
        <v>29.884364927763961</v>
      </c>
      <c r="X41" s="50">
        <f t="shared" si="3"/>
        <v>0.12057249186866377</v>
      </c>
    </row>
    <row r="42" spans="2:24" x14ac:dyDescent="0.25">
      <c r="B42" s="77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4"/>
      <c r="V42" s="48">
        <v>-2.1</v>
      </c>
      <c r="W42" s="49">
        <f t="shared" si="2"/>
        <v>29.91378672397671</v>
      </c>
      <c r="X42" s="50">
        <f t="shared" si="3"/>
        <v>0.14949323849020599</v>
      </c>
    </row>
    <row r="43" spans="2:24" x14ac:dyDescent="0.25">
      <c r="B43" s="77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4"/>
      <c r="V43" s="48">
        <v>-2</v>
      </c>
      <c r="W43" s="49">
        <f t="shared" si="2"/>
        <v>29.943208520189458</v>
      </c>
      <c r="X43" s="50">
        <f t="shared" si="3"/>
        <v>0.18350669728924551</v>
      </c>
    </row>
    <row r="44" spans="2:24" x14ac:dyDescent="0.25">
      <c r="B44" s="77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4"/>
      <c r="V44" s="48">
        <v>-1.9</v>
      </c>
      <c r="W44" s="49">
        <f t="shared" si="2"/>
        <v>29.972630316402206</v>
      </c>
      <c r="X44" s="50">
        <f t="shared" si="3"/>
        <v>0.22301770531006473</v>
      </c>
    </row>
    <row r="45" spans="2:24" x14ac:dyDescent="0.25">
      <c r="B45" s="77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4"/>
      <c r="V45" s="48">
        <v>-1.8</v>
      </c>
      <c r="W45" s="49">
        <f t="shared" si="2"/>
        <v>30.002052112614958</v>
      </c>
      <c r="X45" s="50">
        <f t="shared" si="3"/>
        <v>0.26833901550403927</v>
      </c>
    </row>
    <row r="46" spans="2:24" x14ac:dyDescent="0.25">
      <c r="B46" s="77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4"/>
      <c r="V46" s="48">
        <v>-1.7</v>
      </c>
      <c r="W46" s="49">
        <f t="shared" si="2"/>
        <v>30.031473908827707</v>
      </c>
      <c r="X46" s="50">
        <f t="shared" si="3"/>
        <v>0.31965783698867073</v>
      </c>
    </row>
    <row r="47" spans="2:24" x14ac:dyDescent="0.25">
      <c r="B47" s="77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4"/>
      <c r="V47" s="48">
        <v>-1.6</v>
      </c>
      <c r="W47" s="49">
        <f t="shared" si="2"/>
        <v>30.060895705040455</v>
      </c>
      <c r="X47" s="50">
        <f t="shared" si="3"/>
        <v>0.37700225328660458</v>
      </c>
    </row>
    <row r="48" spans="2:24" x14ac:dyDescent="0.25">
      <c r="B48" s="77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4"/>
      <c r="V48" s="48">
        <v>-1.5</v>
      </c>
      <c r="W48" s="49">
        <f t="shared" si="2"/>
        <v>30.090317501253203</v>
      </c>
      <c r="X48" s="50">
        <f t="shared" si="3"/>
        <v>0.44020968240467356</v>
      </c>
    </row>
    <row r="49" spans="2:24" x14ac:dyDescent="0.25">
      <c r="B49" s="77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4"/>
      <c r="V49" s="48">
        <v>-1.4</v>
      </c>
      <c r="W49" s="49">
        <f t="shared" si="2"/>
        <v>30.119739297465951</v>
      </c>
      <c r="X49" s="50">
        <f t="shared" si="3"/>
        <v>0.50889981207491997</v>
      </c>
    </row>
    <row r="50" spans="2:24" x14ac:dyDescent="0.25">
      <c r="B50" s="77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4"/>
      <c r="V50" s="48">
        <v>-1.3</v>
      </c>
      <c r="W50" s="49">
        <f t="shared" si="2"/>
        <v>30.1491610936787</v>
      </c>
      <c r="X50" s="50">
        <f t="shared" si="3"/>
        <v>0.5824545544692159</v>
      </c>
    </row>
    <row r="51" spans="2:24" x14ac:dyDescent="0.25">
      <c r="B51" s="77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4"/>
      <c r="V51" s="48">
        <v>-1.2</v>
      </c>
      <c r="W51" s="49">
        <f t="shared" si="2"/>
        <v>30.178582889891448</v>
      </c>
      <c r="X51" s="50">
        <f t="shared" si="3"/>
        <v>0.66000747737851861</v>
      </c>
    </row>
    <row r="52" spans="2:24" x14ac:dyDescent="0.25">
      <c r="B52" s="77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4"/>
      <c r="V52" s="48">
        <v>-1.1000000000000001</v>
      </c>
      <c r="W52" s="49">
        <f t="shared" si="2"/>
        <v>30.2080046861042</v>
      </c>
      <c r="X52" s="50">
        <f t="shared" si="3"/>
        <v>0.7404448574698308</v>
      </c>
    </row>
    <row r="53" spans="2:24" x14ac:dyDescent="0.25">
      <c r="B53" s="77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4"/>
      <c r="V53" s="48">
        <v>-1</v>
      </c>
      <c r="W53" s="49">
        <f t="shared" si="2"/>
        <v>30.237426482316948</v>
      </c>
      <c r="X53" s="50">
        <f t="shared" si="3"/>
        <v>0.82241995957505731</v>
      </c>
    </row>
    <row r="54" spans="2:24" ht="15.75" thickBot="1" x14ac:dyDescent="0.3">
      <c r="B54" s="83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6"/>
      <c r="V54" s="48">
        <v>-0.9</v>
      </c>
      <c r="W54" s="49">
        <f t="shared" si="2"/>
        <v>30.266848278529697</v>
      </c>
      <c r="X54" s="50">
        <f t="shared" si="3"/>
        <v>0.90438139117916161</v>
      </c>
    </row>
    <row r="55" spans="2:24" x14ac:dyDescent="0.25">
      <c r="B55" s="74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6"/>
      <c r="V55" s="48">
        <v>-0.8</v>
      </c>
      <c r="W55" s="49">
        <f t="shared" si="2"/>
        <v>30.296270074742445</v>
      </c>
      <c r="X55" s="50">
        <f t="shared" si="3"/>
        <v>0.98461545538119255</v>
      </c>
    </row>
    <row r="56" spans="2:24" x14ac:dyDescent="0.25">
      <c r="B56" s="77"/>
      <c r="C56" s="273" t="s">
        <v>52</v>
      </c>
      <c r="D56" s="273"/>
      <c r="E56" s="273"/>
      <c r="F56" s="273"/>
      <c r="G56" s="267" t="s">
        <v>53</v>
      </c>
      <c r="H56" s="268"/>
      <c r="I56" s="268"/>
      <c r="J56" s="268"/>
      <c r="K56" s="269"/>
      <c r="L56" s="43"/>
      <c r="M56" s="43"/>
      <c r="N56" s="43"/>
      <c r="O56" s="43"/>
      <c r="P56" s="43" t="s">
        <v>80</v>
      </c>
      <c r="Q56" s="43"/>
      <c r="R56" s="44"/>
      <c r="V56" s="48">
        <v>-0.7</v>
      </c>
      <c r="W56" s="49">
        <f t="shared" si="2"/>
        <v>30.325691870955193</v>
      </c>
      <c r="X56" s="50">
        <f t="shared" si="3"/>
        <v>1.06130139407144</v>
      </c>
    </row>
    <row r="57" spans="2:24" x14ac:dyDescent="0.25">
      <c r="B57" s="77"/>
      <c r="C57" s="52" t="s">
        <v>0</v>
      </c>
      <c r="D57" s="52" t="s">
        <v>1</v>
      </c>
      <c r="E57" s="52" t="s">
        <v>6</v>
      </c>
      <c r="F57" s="52" t="s">
        <v>7</v>
      </c>
      <c r="G57" s="52" t="s">
        <v>2</v>
      </c>
      <c r="H57" s="52" t="s">
        <v>3</v>
      </c>
      <c r="I57" s="52" t="s">
        <v>4</v>
      </c>
      <c r="J57" s="53" t="s">
        <v>8</v>
      </c>
      <c r="K57" s="52" t="s">
        <v>91</v>
      </c>
      <c r="L57" s="43"/>
      <c r="M57" s="92" t="s">
        <v>92</v>
      </c>
      <c r="N57" s="51">
        <f>K60+K61</f>
        <v>9.0751444443340212E-2</v>
      </c>
      <c r="O57" s="43"/>
      <c r="P57" s="270" t="s">
        <v>81</v>
      </c>
      <c r="Q57" s="270"/>
      <c r="R57" s="44"/>
      <c r="V57" s="48">
        <v>-0.6</v>
      </c>
      <c r="W57" s="49">
        <f t="shared" si="2"/>
        <v>30.355113667167942</v>
      </c>
      <c r="X57" s="50">
        <f t="shared" si="3"/>
        <v>1.1325773602748606</v>
      </c>
    </row>
    <row r="58" spans="2:24" x14ac:dyDescent="0.25">
      <c r="B58" s="77"/>
      <c r="C58" s="54" t="s">
        <v>9</v>
      </c>
      <c r="D58" s="54">
        <f>COUNT(I6:N35)</f>
        <v>90</v>
      </c>
      <c r="E58" s="55">
        <f>SUM(I6:N35)^2</f>
        <v>7550668.6311039943</v>
      </c>
      <c r="F58" s="55">
        <f>E58/D58</f>
        <v>83896.318123377714</v>
      </c>
      <c r="G58" s="56">
        <f>DEVSQ(I6:N35)</f>
        <v>7.7042146222222199</v>
      </c>
      <c r="H58" s="54">
        <f>D58-1</f>
        <v>89</v>
      </c>
      <c r="I58" s="55">
        <f>G58/H58</f>
        <v>8.6564209238451914E-2</v>
      </c>
      <c r="J58" s="57">
        <f>SUM(J60:J63)</f>
        <v>1</v>
      </c>
      <c r="K58" s="55">
        <f>I58</f>
        <v>8.6564209238451914E-2</v>
      </c>
      <c r="L58" s="43"/>
      <c r="M58" s="43"/>
      <c r="N58" s="43"/>
      <c r="O58" s="43"/>
      <c r="P58" s="71" t="s">
        <v>82</v>
      </c>
      <c r="Q58" s="91">
        <f>MAX(U6:U35)/SUM(U6:U35)</f>
        <v>9.5262518013181363E-2</v>
      </c>
      <c r="R58" s="68">
        <f>COUNT(I6:I35)</f>
        <v>30</v>
      </c>
      <c r="V58" s="48">
        <v>-0.5</v>
      </c>
      <c r="W58" s="49">
        <f t="shared" si="2"/>
        <v>30.38453546338069</v>
      </c>
      <c r="X58" s="50">
        <f t="shared" si="3"/>
        <v>1.1966139803923492</v>
      </c>
    </row>
    <row r="59" spans="2:24" x14ac:dyDescent="0.25">
      <c r="B59" s="77"/>
      <c r="C59" s="54" t="s">
        <v>10</v>
      </c>
      <c r="D59" s="54" t="s">
        <v>5</v>
      </c>
      <c r="E59" s="56" t="s">
        <v>5</v>
      </c>
      <c r="F59" s="55" t="s">
        <v>5</v>
      </c>
      <c r="G59" s="55">
        <f>SUM(G61:G63)</f>
        <v>2.2591279556218069</v>
      </c>
      <c r="H59" s="58">
        <f>SUM(H61:H63)</f>
        <v>29</v>
      </c>
      <c r="I59" s="55">
        <f>G59/H59</f>
        <v>7.7900963986958865E-2</v>
      </c>
      <c r="J59" s="57">
        <f>G59/G58</f>
        <v>0.29323273901346475</v>
      </c>
      <c r="K59" s="55" t="s">
        <v>5</v>
      </c>
      <c r="L59" s="43"/>
      <c r="M59" s="92" t="s">
        <v>93</v>
      </c>
      <c r="N59" s="51">
        <f>N57+K62</f>
        <v>9.0751444443340212E-2</v>
      </c>
      <c r="O59" s="43"/>
      <c r="P59" s="71" t="s">
        <v>84</v>
      </c>
      <c r="Q59" s="91">
        <f>1/((1+(R58-1)/FINV(0.05/R58,R59-1,(R58)*(R59-1))))</f>
        <v>0.19734548704970753</v>
      </c>
      <c r="R59" s="68">
        <f>COUNT(I6:N6)</f>
        <v>3</v>
      </c>
      <c r="V59" s="48">
        <v>-0.4</v>
      </c>
      <c r="W59" s="49">
        <f t="shared" si="2"/>
        <v>30.413957259593438</v>
      </c>
      <c r="X59" s="50">
        <f t="shared" si="3"/>
        <v>1.2516915610466601</v>
      </c>
    </row>
    <row r="60" spans="2:24" x14ac:dyDescent="0.25">
      <c r="B60" s="77"/>
      <c r="C60" s="54" t="s">
        <v>66</v>
      </c>
      <c r="D60" s="54" t="s">
        <v>5</v>
      </c>
      <c r="E60" s="55" t="s">
        <v>5</v>
      </c>
      <c r="F60" s="55" t="s">
        <v>5</v>
      </c>
      <c r="G60" s="55">
        <f>G58-G59</f>
        <v>5.445086666600413</v>
      </c>
      <c r="H60" s="58">
        <f>H58-H59</f>
        <v>60</v>
      </c>
      <c r="I60" s="55">
        <f>G60/H60</f>
        <v>9.0751444443340212E-2</v>
      </c>
      <c r="J60" s="57">
        <f>G60/G58</f>
        <v>0.70676726098653531</v>
      </c>
      <c r="K60" s="55">
        <f>I60</f>
        <v>9.0751444443340212E-2</v>
      </c>
      <c r="L60" s="43"/>
      <c r="M60" s="43"/>
      <c r="N60" s="43"/>
      <c r="O60" s="43"/>
      <c r="P60" s="43" t="s">
        <v>85</v>
      </c>
      <c r="Q60" s="43"/>
      <c r="R60" s="44"/>
      <c r="V60" s="48">
        <v>-0.3</v>
      </c>
      <c r="W60" s="49">
        <f t="shared" si="2"/>
        <v>30.44337905580619</v>
      </c>
      <c r="X60" s="50">
        <f t="shared" si="3"/>
        <v>1.296276449958093</v>
      </c>
    </row>
    <row r="61" spans="2:24" x14ac:dyDescent="0.25">
      <c r="B61" s="77"/>
      <c r="C61" s="59" t="str">
        <f>D6</f>
        <v>opérateur</v>
      </c>
      <c r="D61" s="59">
        <v>3</v>
      </c>
      <c r="E61" s="60">
        <f>SUM(I6:N15)^2+SUM(I16:N25)^2+SUM(I26:N35)^2</f>
        <v>2516890.2610499999</v>
      </c>
      <c r="F61" s="61">
        <f>E61*D61/$D$58</f>
        <v>83896.342034999994</v>
      </c>
      <c r="G61" s="61">
        <f>F61-$F$58</f>
        <v>2.3911622280138545E-2</v>
      </c>
      <c r="H61" s="59">
        <f>D61-1</f>
        <v>2</v>
      </c>
      <c r="I61" s="61">
        <f>G61/H61</f>
        <v>1.1955811140069272E-2</v>
      </c>
      <c r="J61" s="62">
        <f>G61/$G$58</f>
        <v>3.1037066661106887E-3</v>
      </c>
      <c r="K61" s="61">
        <f>MAX(0,(I61-I60)/(D62*COUNT(I6:N6)))</f>
        <v>0</v>
      </c>
      <c r="L61" s="43"/>
      <c r="M61" s="92" t="s">
        <v>86</v>
      </c>
      <c r="N61" s="93">
        <f>SQRT(N57)/SQRT(N59)</f>
        <v>1</v>
      </c>
      <c r="O61" s="43"/>
      <c r="P61" s="43" t="s">
        <v>90</v>
      </c>
      <c r="Q61" s="43"/>
      <c r="R61" s="44"/>
      <c r="V61" s="48">
        <v>-0.2</v>
      </c>
      <c r="W61" s="49">
        <f t="shared" si="2"/>
        <v>30.472800852018938</v>
      </c>
      <c r="X61" s="50">
        <f t="shared" si="3"/>
        <v>1.3290918445217597</v>
      </c>
    </row>
    <row r="62" spans="2:24" x14ac:dyDescent="0.25">
      <c r="B62" s="77"/>
      <c r="C62" s="59" t="str">
        <f>D7</f>
        <v>pièce</v>
      </c>
      <c r="D62" s="59">
        <f>COUNT(I6:I15)</f>
        <v>10</v>
      </c>
      <c r="E62" s="60">
        <f>SUM(O6,O16,O26)^2+SUM(O7,O17,O27)^2+SUM(O8,O18,O28)^2+SUM(O29,O9,O19)^2+SUM(O10,O20,O30)^2+SUM(O11,O21,O31)^2+SUM(O12,O22,O32)^2+SUM(O13,O23,O33)^2+SUM(O34,O24,O14)^2+SUM(O15,O25,O35)^2</f>
        <v>755072.70627400011</v>
      </c>
      <c r="F62" s="61">
        <f>E62*D62/$D$58</f>
        <v>83896.967363777789</v>
      </c>
      <c r="G62" s="61">
        <f>F62-$F$58</f>
        <v>0.64924040007463191</v>
      </c>
      <c r="H62" s="59">
        <f t="shared" ref="H62" si="4">D62-1</f>
        <v>9</v>
      </c>
      <c r="I62" s="61">
        <f>G62/H62</f>
        <v>7.2137822230514653E-2</v>
      </c>
      <c r="J62" s="62">
        <f>G62/$G$58</f>
        <v>8.4270809149312564E-2</v>
      </c>
      <c r="K62" s="61">
        <f>MAX(0,(I62-I63)/(D61*COUNT(I6:N6)))</f>
        <v>0</v>
      </c>
      <c r="L62" s="43"/>
      <c r="M62" s="43"/>
      <c r="N62" s="43"/>
      <c r="O62" s="43"/>
      <c r="P62" s="43"/>
      <c r="Q62" s="43"/>
      <c r="R62" s="44"/>
      <c r="V62" s="48">
        <v>-0.1</v>
      </c>
      <c r="W62" s="49">
        <f t="shared" si="2"/>
        <v>30.502222648231687</v>
      </c>
      <c r="X62" s="50">
        <f t="shared" si="3"/>
        <v>1.3491784954482415</v>
      </c>
    </row>
    <row r="63" spans="2:24" x14ac:dyDescent="0.25">
      <c r="B63" s="77"/>
      <c r="C63" s="59" t="s">
        <v>72</v>
      </c>
      <c r="D63" s="59">
        <f>D61*D62</f>
        <v>30</v>
      </c>
      <c r="E63" s="60">
        <f>SUMSQ(O6:O35)</f>
        <v>251695.73175399998</v>
      </c>
      <c r="F63" s="61">
        <f>E63*D63/$D$58</f>
        <v>83898.577251333336</v>
      </c>
      <c r="G63" s="61">
        <f>F63-$F$58-G61-G62</f>
        <v>1.5859759332670365</v>
      </c>
      <c r="H63" s="59">
        <f>H61*H62</f>
        <v>18</v>
      </c>
      <c r="I63" s="61">
        <f t="shared" ref="I63" si="5">G63/H63</f>
        <v>8.8109774070390917E-2</v>
      </c>
      <c r="J63" s="62">
        <f>G63/$G$58</f>
        <v>0.20585822319804148</v>
      </c>
      <c r="K63" s="61" t="s">
        <v>5</v>
      </c>
      <c r="L63" s="43"/>
      <c r="M63" s="94" t="s">
        <v>95</v>
      </c>
      <c r="N63" s="95" t="s">
        <v>96</v>
      </c>
      <c r="O63" s="96" t="s">
        <v>97</v>
      </c>
      <c r="P63" s="43"/>
      <c r="Q63" s="43"/>
      <c r="R63" s="44"/>
      <c r="V63" s="48">
        <v>0</v>
      </c>
      <c r="W63" s="49">
        <f t="shared" si="2"/>
        <v>30.531644444444435</v>
      </c>
      <c r="X63" s="50">
        <f t="shared" si="3"/>
        <v>1.3559412807997311</v>
      </c>
    </row>
    <row r="64" spans="2:24" x14ac:dyDescent="0.25">
      <c r="B64" s="77"/>
      <c r="C64" s="43"/>
      <c r="D64" s="43"/>
      <c r="E64" s="43"/>
      <c r="F64" s="43"/>
      <c r="G64" s="43"/>
      <c r="H64" s="43"/>
      <c r="I64" s="47">
        <f>I63/I60</f>
        <v>0.97089114791336906</v>
      </c>
      <c r="J64" s="47">
        <f>+FINV(0.05,H63,H60)</f>
        <v>1.778446085327736</v>
      </c>
      <c r="K64" s="43"/>
      <c r="L64" s="43"/>
      <c r="M64" s="43"/>
      <c r="P64" s="43"/>
      <c r="Q64" s="43"/>
      <c r="R64" s="44"/>
      <c r="V64" s="48">
        <v>0.1</v>
      </c>
      <c r="W64" s="49">
        <f t="shared" si="2"/>
        <v>30.561066240657183</v>
      </c>
      <c r="X64" s="50">
        <f t="shared" si="3"/>
        <v>1.3491784954482415</v>
      </c>
    </row>
    <row r="65" spans="1:24" x14ac:dyDescent="0.25">
      <c r="B65" s="77"/>
      <c r="C65" s="69" t="s">
        <v>51</v>
      </c>
      <c r="D65" s="63">
        <f>J59</f>
        <v>0.29323273901346475</v>
      </c>
      <c r="E65" s="43" t="s">
        <v>57</v>
      </c>
      <c r="F65" s="43"/>
      <c r="G65" s="43"/>
      <c r="H65" s="43"/>
      <c r="I65" s="43"/>
      <c r="J65" s="43"/>
      <c r="M65" s="92" t="s">
        <v>89</v>
      </c>
      <c r="N65" s="97">
        <f>TRUNC(SQRT(I58/I60)*SQRT(2),0)</f>
        <v>1</v>
      </c>
      <c r="P65" s="100" t="s">
        <v>72</v>
      </c>
      <c r="Q65" s="71" t="str">
        <f>IF(I64&gt;J64,"oui","non")</f>
        <v>non</v>
      </c>
      <c r="R65" s="44"/>
      <c r="V65" s="48">
        <v>0.2</v>
      </c>
      <c r="W65" s="49">
        <f t="shared" si="2"/>
        <v>30.590488036869932</v>
      </c>
      <c r="X65" s="50">
        <f t="shared" si="3"/>
        <v>1.3290918445217597</v>
      </c>
    </row>
    <row r="66" spans="1:24" x14ac:dyDescent="0.25">
      <c r="B66" s="77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1" t="s">
        <v>128</v>
      </c>
      <c r="P66" s="43"/>
      <c r="Q66" s="43"/>
      <c r="R66" s="44"/>
      <c r="V66" s="48">
        <v>0.3</v>
      </c>
      <c r="W66" s="49">
        <f t="shared" ref="W66:W93" si="6">Q$9+V66*SQRT(Q$10)</f>
        <v>30.61990983308268</v>
      </c>
      <c r="X66" s="50">
        <f t="shared" ref="X66:X93" si="7">NORMDIST(W66,Q$9,SQRT(Q$10),0)</f>
        <v>1.296276449958093</v>
      </c>
    </row>
    <row r="67" spans="1:24" x14ac:dyDescent="0.25">
      <c r="B67" s="77"/>
      <c r="C67" s="69" t="s">
        <v>54</v>
      </c>
      <c r="D67" s="63">
        <f>(I58-I60)/I58</f>
        <v>-4.8371437130027221E-2</v>
      </c>
      <c r="E67" s="43" t="s">
        <v>56</v>
      </c>
      <c r="F67" s="43"/>
      <c r="G67" s="43"/>
      <c r="H67" s="43"/>
      <c r="I67" s="43"/>
      <c r="J67" s="43"/>
      <c r="Q67" s="43"/>
      <c r="R67" s="44"/>
      <c r="V67" s="48">
        <v>0.4</v>
      </c>
      <c r="W67" s="49">
        <f t="shared" si="6"/>
        <v>30.649331629295432</v>
      </c>
      <c r="X67" s="50">
        <f t="shared" si="7"/>
        <v>1.2516915610466601</v>
      </c>
    </row>
    <row r="68" spans="1:24" ht="15.75" thickBot="1" x14ac:dyDescent="0.3">
      <c r="B68" s="83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6"/>
      <c r="V68" s="48">
        <v>0.5</v>
      </c>
      <c r="W68" s="49">
        <f t="shared" si="6"/>
        <v>30.67875342550818</v>
      </c>
      <c r="X68" s="50">
        <f t="shared" si="7"/>
        <v>1.1966139803923492</v>
      </c>
    </row>
    <row r="69" spans="1:24" x14ac:dyDescent="0.25">
      <c r="B69" s="43" t="s">
        <v>79</v>
      </c>
      <c r="N69" s="43"/>
      <c r="O69" s="43"/>
      <c r="P69" s="43"/>
      <c r="Q69" s="43"/>
      <c r="R69" s="66" t="s">
        <v>60</v>
      </c>
      <c r="V69" s="48">
        <v>0.6</v>
      </c>
      <c r="W69" s="49">
        <f t="shared" si="6"/>
        <v>30.708175221720929</v>
      </c>
      <c r="X69" s="50">
        <f t="shared" si="7"/>
        <v>1.1325773602748606</v>
      </c>
    </row>
    <row r="70" spans="1:24" x14ac:dyDescent="0.25">
      <c r="A70" s="43"/>
      <c r="I70" s="43"/>
      <c r="M70" s="43"/>
      <c r="N70" s="43"/>
      <c r="O70" s="43"/>
      <c r="P70" s="43"/>
      <c r="Q70" s="43"/>
      <c r="R70" s="64">
        <v>45962</v>
      </c>
      <c r="V70" s="48">
        <v>0.7</v>
      </c>
      <c r="W70" s="49">
        <f t="shared" si="6"/>
        <v>30.737597017933677</v>
      </c>
      <c r="X70" s="50">
        <f t="shared" si="7"/>
        <v>1.06130139407144</v>
      </c>
    </row>
    <row r="71" spans="1:24" x14ac:dyDescent="0.25">
      <c r="A71" s="43"/>
      <c r="I71" s="43"/>
      <c r="J71" s="43"/>
      <c r="K71" s="43"/>
      <c r="L71" s="43"/>
      <c r="V71" s="48">
        <v>0.8</v>
      </c>
      <c r="W71" s="49">
        <f t="shared" si="6"/>
        <v>30.767018814146425</v>
      </c>
      <c r="X71" s="50">
        <f t="shared" si="7"/>
        <v>0.98461545538119255</v>
      </c>
    </row>
    <row r="72" spans="1:24" x14ac:dyDescent="0.25">
      <c r="A72" s="43"/>
      <c r="V72" s="48">
        <v>0.9</v>
      </c>
      <c r="W72" s="49">
        <f t="shared" si="6"/>
        <v>30.796440610359173</v>
      </c>
      <c r="X72" s="50">
        <f t="shared" si="7"/>
        <v>0.90438139117916161</v>
      </c>
    </row>
    <row r="73" spans="1:24" x14ac:dyDescent="0.25">
      <c r="V73" s="48">
        <v>1</v>
      </c>
      <c r="W73" s="49">
        <f t="shared" si="6"/>
        <v>30.825862406571922</v>
      </c>
      <c r="X73" s="50">
        <f t="shared" si="7"/>
        <v>0.82241995957505731</v>
      </c>
    </row>
    <row r="74" spans="1:24" x14ac:dyDescent="0.25">
      <c r="I74" s="43"/>
      <c r="V74" s="48">
        <v>1.1000000000000001</v>
      </c>
      <c r="W74" s="49">
        <f t="shared" si="6"/>
        <v>30.85528420278467</v>
      </c>
      <c r="X74" s="50">
        <f t="shared" si="7"/>
        <v>0.7404448574698308</v>
      </c>
    </row>
    <row r="75" spans="1:24" x14ac:dyDescent="0.25">
      <c r="I75" s="43"/>
      <c r="J75" s="43"/>
      <c r="K75" s="43"/>
      <c r="L75" s="43"/>
      <c r="V75" s="48">
        <v>1.2</v>
      </c>
      <c r="W75" s="49">
        <f t="shared" si="6"/>
        <v>30.884705998997422</v>
      </c>
      <c r="X75" s="50">
        <f t="shared" si="7"/>
        <v>0.66000747737851861</v>
      </c>
    </row>
    <row r="76" spans="1:24" x14ac:dyDescent="0.25">
      <c r="I76" s="43"/>
      <c r="V76" s="48">
        <v>1.3</v>
      </c>
      <c r="W76" s="49">
        <f t="shared" si="6"/>
        <v>30.91412779521017</v>
      </c>
      <c r="X76" s="50">
        <f t="shared" si="7"/>
        <v>0.5824545544692159</v>
      </c>
    </row>
    <row r="77" spans="1:24" x14ac:dyDescent="0.25">
      <c r="I77" s="43"/>
      <c r="J77" s="43"/>
      <c r="K77" s="43"/>
      <c r="L77" s="43"/>
      <c r="V77" s="48">
        <v>1.4</v>
      </c>
      <c r="W77" s="49">
        <f t="shared" si="6"/>
        <v>30.943549591422919</v>
      </c>
      <c r="X77" s="50">
        <f t="shared" si="7"/>
        <v>0.50889981207491997</v>
      </c>
    </row>
    <row r="78" spans="1:24" x14ac:dyDescent="0.25">
      <c r="I78" s="43"/>
      <c r="V78" s="48">
        <v>1.5</v>
      </c>
      <c r="W78" s="49">
        <f t="shared" si="6"/>
        <v>30.972971387635667</v>
      </c>
      <c r="X78" s="50">
        <f t="shared" si="7"/>
        <v>0.44020968240467356</v>
      </c>
    </row>
    <row r="79" spans="1:24" x14ac:dyDescent="0.25">
      <c r="I79" s="43"/>
      <c r="J79" s="43"/>
      <c r="K79" s="43"/>
      <c r="L79" s="43"/>
      <c r="V79" s="48">
        <v>1.6</v>
      </c>
      <c r="W79" s="49">
        <f t="shared" si="6"/>
        <v>31.002393183848415</v>
      </c>
      <c r="X79" s="50">
        <f t="shared" si="7"/>
        <v>0.37700225328660458</v>
      </c>
    </row>
    <row r="80" spans="1:24" x14ac:dyDescent="0.25">
      <c r="I80" s="43"/>
      <c r="V80" s="48">
        <v>1.7</v>
      </c>
      <c r="W80" s="49">
        <f t="shared" si="6"/>
        <v>31.031814980061164</v>
      </c>
      <c r="X80" s="50">
        <f t="shared" si="7"/>
        <v>0.31965783698867073</v>
      </c>
    </row>
    <row r="81" spans="9:24" x14ac:dyDescent="0.25">
      <c r="I81" s="43"/>
      <c r="V81" s="48">
        <v>1.8</v>
      </c>
      <c r="W81" s="49">
        <f t="shared" si="6"/>
        <v>31.061236776273912</v>
      </c>
      <c r="X81" s="50">
        <f t="shared" si="7"/>
        <v>0.26833901550403927</v>
      </c>
    </row>
    <row r="82" spans="9:24" x14ac:dyDescent="0.25">
      <c r="I82" s="43"/>
      <c r="V82" s="48">
        <v>1.9</v>
      </c>
      <c r="W82" s="49">
        <f t="shared" si="6"/>
        <v>31.090658572486664</v>
      </c>
      <c r="X82" s="50">
        <f t="shared" si="7"/>
        <v>0.22301770531006473</v>
      </c>
    </row>
    <row r="83" spans="9:24" x14ac:dyDescent="0.25">
      <c r="I83" s="43"/>
      <c r="V83" s="48">
        <v>2</v>
      </c>
      <c r="W83" s="49">
        <f t="shared" si="6"/>
        <v>31.120080368699412</v>
      </c>
      <c r="X83" s="50">
        <f t="shared" si="7"/>
        <v>0.18350669728924551</v>
      </c>
    </row>
    <row r="84" spans="9:24" x14ac:dyDescent="0.25">
      <c r="I84" s="43"/>
      <c r="V84" s="48">
        <v>2.1</v>
      </c>
      <c r="W84" s="49">
        <f t="shared" si="6"/>
        <v>31.14950216491216</v>
      </c>
      <c r="X84" s="50">
        <f t="shared" si="7"/>
        <v>0.14949323849020599</v>
      </c>
    </row>
    <row r="85" spans="9:24" x14ac:dyDescent="0.25">
      <c r="I85" s="43"/>
      <c r="V85" s="48">
        <v>2.2000000000000002</v>
      </c>
      <c r="W85" s="49">
        <f t="shared" si="6"/>
        <v>31.178923961124909</v>
      </c>
      <c r="X85" s="50">
        <f t="shared" si="7"/>
        <v>0.12057249186866377</v>
      </c>
    </row>
    <row r="86" spans="9:24" x14ac:dyDescent="0.25">
      <c r="V86" s="48">
        <v>2.2999999999999998</v>
      </c>
      <c r="W86" s="49">
        <f t="shared" si="6"/>
        <v>31.208345757337657</v>
      </c>
      <c r="X86" s="50">
        <f t="shared" si="7"/>
        <v>9.6279090293361458E-2</v>
      </c>
    </row>
    <row r="87" spans="9:24" x14ac:dyDescent="0.25">
      <c r="V87" s="48">
        <v>2.4</v>
      </c>
      <c r="W87" s="49">
        <f t="shared" si="6"/>
        <v>31.237767553550405</v>
      </c>
      <c r="X87" s="50">
        <f t="shared" si="7"/>
        <v>7.6115442214704829E-2</v>
      </c>
    </row>
    <row r="88" spans="9:24" x14ac:dyDescent="0.25">
      <c r="V88" s="48">
        <v>2.5000000000000102</v>
      </c>
      <c r="W88" s="49">
        <f t="shared" si="6"/>
        <v>31.267189349763157</v>
      </c>
      <c r="X88" s="50">
        <f t="shared" si="7"/>
        <v>5.957590205173463E-2</v>
      </c>
    </row>
    <row r="89" spans="9:24" x14ac:dyDescent="0.25">
      <c r="V89" s="48">
        <v>2.6</v>
      </c>
      <c r="W89" s="49">
        <f t="shared" si="6"/>
        <v>31.296611145975902</v>
      </c>
      <c r="X89" s="50">
        <f t="shared" si="7"/>
        <v>4.6166349380804175E-2</v>
      </c>
    </row>
    <row r="90" spans="9:24" x14ac:dyDescent="0.25">
      <c r="V90" s="48">
        <v>2.7</v>
      </c>
      <c r="W90" s="49">
        <f t="shared" si="6"/>
        <v>31.326032942188654</v>
      </c>
      <c r="X90" s="50">
        <f t="shared" si="7"/>
        <v>3.5419097933616119E-2</v>
      </c>
    </row>
    <row r="91" spans="9:24" x14ac:dyDescent="0.25">
      <c r="V91" s="48">
        <v>2.80000000000001</v>
      </c>
      <c r="W91" s="49">
        <f t="shared" si="6"/>
        <v>31.355454738401406</v>
      </c>
      <c r="X91" s="50">
        <f t="shared" si="7"/>
        <v>2.6903359420149101E-2</v>
      </c>
    </row>
    <row r="92" spans="9:24" x14ac:dyDescent="0.25">
      <c r="V92" s="48">
        <v>2.9000000000000101</v>
      </c>
      <c r="W92" s="49">
        <f t="shared" si="6"/>
        <v>31.384876534614154</v>
      </c>
      <c r="X92" s="50">
        <f t="shared" si="7"/>
        <v>2.0231709773029825E-2</v>
      </c>
    </row>
    <row r="93" spans="9:24" x14ac:dyDescent="0.25">
      <c r="V93" s="48">
        <v>3.0000000000000102</v>
      </c>
      <c r="W93" s="49">
        <f t="shared" si="6"/>
        <v>31.414298330826902</v>
      </c>
      <c r="X93" s="50">
        <f t="shared" si="7"/>
        <v>1.5063146994463487E-2</v>
      </c>
    </row>
    <row r="94" spans="9:24" x14ac:dyDescent="0.25">
      <c r="V94" s="47"/>
      <c r="W94" s="47"/>
      <c r="X94" s="47"/>
    </row>
    <row r="95" spans="9:24" x14ac:dyDescent="0.25">
      <c r="V95" s="47"/>
      <c r="W95" s="47"/>
      <c r="X95" s="47"/>
    </row>
    <row r="96" spans="9:24" x14ac:dyDescent="0.25">
      <c r="V96" s="47"/>
      <c r="W96" s="47"/>
      <c r="X96" s="47"/>
    </row>
    <row r="97" spans="22:24" x14ac:dyDescent="0.25">
      <c r="V97" s="47"/>
      <c r="W97" s="47"/>
      <c r="X97" s="47"/>
    </row>
    <row r="98" spans="22:24" x14ac:dyDescent="0.25">
      <c r="V98" s="47"/>
      <c r="W98" s="47"/>
      <c r="X98" s="47"/>
    </row>
    <row r="99" spans="22:24" x14ac:dyDescent="0.25">
      <c r="V99" s="47"/>
      <c r="W99" s="47"/>
      <c r="X99" s="47"/>
    </row>
    <row r="100" spans="22:24" x14ac:dyDescent="0.25">
      <c r="V100" s="47"/>
      <c r="W100" s="47"/>
      <c r="X100" s="47"/>
    </row>
    <row r="101" spans="22:24" x14ac:dyDescent="0.25">
      <c r="V101" s="47"/>
      <c r="W101" s="47"/>
      <c r="X101" s="47"/>
    </row>
    <row r="102" spans="22:24" x14ac:dyDescent="0.25">
      <c r="V102" s="47"/>
      <c r="W102" s="47"/>
      <c r="X102" s="47"/>
    </row>
    <row r="103" spans="22:24" x14ac:dyDescent="0.25">
      <c r="V103" s="47"/>
      <c r="W103" s="47"/>
      <c r="X103" s="47"/>
    </row>
    <row r="104" spans="22:24" x14ac:dyDescent="0.25">
      <c r="V104" s="47"/>
      <c r="W104" s="47"/>
      <c r="X104" s="47"/>
    </row>
    <row r="105" spans="22:24" x14ac:dyDescent="0.25">
      <c r="V105" s="47"/>
      <c r="W105" s="47"/>
      <c r="X105" s="47"/>
    </row>
    <row r="106" spans="22:24" x14ac:dyDescent="0.25">
      <c r="V106" s="47"/>
      <c r="W106" s="47"/>
      <c r="X106" s="47"/>
    </row>
    <row r="107" spans="22:24" x14ac:dyDescent="0.25">
      <c r="V107" s="47"/>
      <c r="W107" s="47"/>
      <c r="X107" s="47"/>
    </row>
    <row r="108" spans="22:24" x14ac:dyDescent="0.25">
      <c r="V108" s="47"/>
      <c r="W108" s="47"/>
      <c r="X108" s="47"/>
    </row>
    <row r="109" spans="22:24" x14ac:dyDescent="0.25">
      <c r="V109" s="47"/>
      <c r="W109" s="47"/>
      <c r="X109" s="47"/>
    </row>
    <row r="110" spans="22:24" x14ac:dyDescent="0.25">
      <c r="V110" s="47"/>
      <c r="W110" s="47"/>
      <c r="X110" s="47"/>
    </row>
    <row r="111" spans="22:24" x14ac:dyDescent="0.25">
      <c r="V111" s="47"/>
      <c r="W111" s="47"/>
      <c r="X111" s="47"/>
    </row>
    <row r="112" spans="22:24" x14ac:dyDescent="0.25">
      <c r="V112" s="47"/>
      <c r="W112" s="47"/>
      <c r="X112" s="47"/>
    </row>
    <row r="113" spans="22:24" x14ac:dyDescent="0.25">
      <c r="V113" s="47"/>
      <c r="W113" s="47"/>
      <c r="X113" s="47"/>
    </row>
    <row r="114" spans="22:24" x14ac:dyDescent="0.25">
      <c r="V114" s="47"/>
      <c r="W114" s="47"/>
      <c r="X114" s="47"/>
    </row>
    <row r="115" spans="22:24" x14ac:dyDescent="0.25">
      <c r="V115" s="47"/>
      <c r="W115" s="47"/>
      <c r="X115" s="47"/>
    </row>
    <row r="116" spans="22:24" x14ac:dyDescent="0.25">
      <c r="V116" s="47"/>
      <c r="W116" s="47"/>
      <c r="X116" s="47"/>
    </row>
    <row r="117" spans="22:24" x14ac:dyDescent="0.25">
      <c r="V117" s="47"/>
      <c r="W117" s="47"/>
      <c r="X117" s="47"/>
    </row>
    <row r="118" spans="22:24" x14ac:dyDescent="0.25">
      <c r="V118" s="47"/>
      <c r="W118" s="47"/>
      <c r="X118" s="47"/>
    </row>
    <row r="119" spans="22:24" x14ac:dyDescent="0.25">
      <c r="V119" s="47"/>
      <c r="W119" s="47"/>
      <c r="X119" s="47"/>
    </row>
    <row r="120" spans="22:24" x14ac:dyDescent="0.25">
      <c r="V120" s="47"/>
      <c r="W120" s="47"/>
      <c r="X120" s="47"/>
    </row>
    <row r="121" spans="22:24" x14ac:dyDescent="0.25">
      <c r="V121" s="47"/>
      <c r="W121" s="47"/>
      <c r="X121" s="47"/>
    </row>
    <row r="122" spans="22:24" x14ac:dyDescent="0.25">
      <c r="V122" s="47"/>
      <c r="W122" s="47"/>
      <c r="X122" s="47"/>
    </row>
    <row r="123" spans="22:24" x14ac:dyDescent="0.25">
      <c r="V123" s="47"/>
      <c r="W123" s="47"/>
      <c r="X123" s="47"/>
    </row>
    <row r="124" spans="22:24" x14ac:dyDescent="0.25">
      <c r="V124" s="47"/>
      <c r="W124" s="47"/>
      <c r="X124" s="47"/>
    </row>
    <row r="125" spans="22:24" x14ac:dyDescent="0.25">
      <c r="V125" s="47"/>
      <c r="W125" s="47"/>
      <c r="X125" s="47"/>
    </row>
    <row r="126" spans="22:24" x14ac:dyDescent="0.25">
      <c r="V126" s="47"/>
      <c r="W126" s="47"/>
      <c r="X126" s="47"/>
    </row>
    <row r="127" spans="22:24" x14ac:dyDescent="0.25">
      <c r="V127" s="47"/>
      <c r="W127" s="47"/>
      <c r="X127" s="47"/>
    </row>
    <row r="128" spans="22:24" x14ac:dyDescent="0.25">
      <c r="V128" s="47"/>
      <c r="W128" s="47"/>
      <c r="X128" s="47"/>
    </row>
    <row r="129" spans="22:24" x14ac:dyDescent="0.25">
      <c r="V129" s="47"/>
      <c r="W129" s="47"/>
      <c r="X129" s="47"/>
    </row>
    <row r="130" spans="22:24" x14ac:dyDescent="0.25">
      <c r="V130" s="47"/>
      <c r="W130" s="47"/>
      <c r="X130" s="47"/>
    </row>
    <row r="131" spans="22:24" x14ac:dyDescent="0.25">
      <c r="V131" s="47"/>
      <c r="W131" s="47"/>
      <c r="X131" s="47"/>
    </row>
    <row r="132" spans="22:24" x14ac:dyDescent="0.25">
      <c r="V132" s="47"/>
      <c r="W132" s="47"/>
      <c r="X132" s="47"/>
    </row>
    <row r="133" spans="22:24" x14ac:dyDescent="0.25">
      <c r="V133" s="47"/>
      <c r="W133" s="47"/>
      <c r="X133" s="47"/>
    </row>
    <row r="134" spans="22:24" x14ac:dyDescent="0.25">
      <c r="V134" s="47"/>
      <c r="W134" s="47"/>
      <c r="X134" s="47"/>
    </row>
    <row r="135" spans="22:24" x14ac:dyDescent="0.25">
      <c r="V135" s="47"/>
      <c r="W135" s="47"/>
      <c r="X135" s="47"/>
    </row>
    <row r="136" spans="22:24" x14ac:dyDescent="0.25">
      <c r="V136" s="47"/>
      <c r="W136" s="47"/>
      <c r="X136" s="47"/>
    </row>
    <row r="137" spans="22:24" x14ac:dyDescent="0.25">
      <c r="V137" s="47"/>
      <c r="W137" s="47"/>
      <c r="X137" s="47"/>
    </row>
    <row r="138" spans="22:24" x14ac:dyDescent="0.25">
      <c r="V138" s="47"/>
      <c r="W138" s="47"/>
      <c r="X138" s="47"/>
    </row>
    <row r="139" spans="22:24" x14ac:dyDescent="0.25">
      <c r="V139" s="47"/>
      <c r="W139" s="47"/>
      <c r="X139" s="47"/>
    </row>
    <row r="140" spans="22:24" x14ac:dyDescent="0.25">
      <c r="V140" s="47"/>
      <c r="W140" s="47"/>
      <c r="X140" s="47"/>
    </row>
    <row r="141" spans="22:24" x14ac:dyDescent="0.25">
      <c r="V141" s="47"/>
      <c r="W141" s="47"/>
      <c r="X141" s="47"/>
    </row>
    <row r="142" spans="22:24" x14ac:dyDescent="0.25">
      <c r="V142" s="47"/>
      <c r="W142" s="47"/>
      <c r="X142" s="47"/>
    </row>
    <row r="143" spans="22:24" x14ac:dyDescent="0.25">
      <c r="V143" s="47"/>
      <c r="W143" s="47"/>
      <c r="X143" s="47"/>
    </row>
    <row r="144" spans="22:24" x14ac:dyDescent="0.25">
      <c r="V144" s="47"/>
      <c r="W144" s="47"/>
      <c r="X144" s="47"/>
    </row>
    <row r="145" spans="22:24" x14ac:dyDescent="0.25">
      <c r="V145" s="47"/>
      <c r="W145" s="47"/>
      <c r="X145" s="47"/>
    </row>
    <row r="146" spans="22:24" x14ac:dyDescent="0.25">
      <c r="V146" s="47"/>
      <c r="W146" s="47"/>
      <c r="X146" s="47"/>
    </row>
    <row r="147" spans="22:24" x14ac:dyDescent="0.25">
      <c r="V147" s="47"/>
      <c r="W147" s="47"/>
      <c r="X147" s="47"/>
    </row>
    <row r="148" spans="22:24" x14ac:dyDescent="0.25">
      <c r="V148" s="47"/>
      <c r="W148" s="47"/>
      <c r="X148" s="47"/>
    </row>
    <row r="149" spans="22:24" x14ac:dyDescent="0.25">
      <c r="V149" s="47"/>
      <c r="W149" s="47"/>
      <c r="X149" s="47"/>
    </row>
    <row r="150" spans="22:24" x14ac:dyDescent="0.25">
      <c r="V150" s="47"/>
      <c r="W150" s="47"/>
      <c r="X150" s="47"/>
    </row>
    <row r="151" spans="22:24" x14ac:dyDescent="0.25">
      <c r="V151" s="47"/>
      <c r="W151" s="47"/>
      <c r="X151" s="47"/>
    </row>
    <row r="152" spans="22:24" x14ac:dyDescent="0.25">
      <c r="V152" s="47"/>
      <c r="W152" s="47"/>
      <c r="X152" s="47"/>
    </row>
    <row r="153" spans="22:24" x14ac:dyDescent="0.25">
      <c r="V153" s="47"/>
      <c r="W153" s="47"/>
      <c r="X153" s="47"/>
    </row>
    <row r="154" spans="22:24" x14ac:dyDescent="0.25">
      <c r="V154" s="47"/>
      <c r="W154" s="47"/>
      <c r="X154" s="47"/>
    </row>
    <row r="155" spans="22:24" x14ac:dyDescent="0.25">
      <c r="V155" s="47"/>
      <c r="W155" s="47"/>
      <c r="X155" s="47"/>
    </row>
    <row r="156" spans="22:24" x14ac:dyDescent="0.25">
      <c r="V156" s="47"/>
      <c r="W156" s="47"/>
      <c r="X156" s="47"/>
    </row>
    <row r="157" spans="22:24" x14ac:dyDescent="0.25">
      <c r="V157" s="47"/>
      <c r="W157" s="47"/>
      <c r="X157" s="47"/>
    </row>
    <row r="158" spans="22:24" x14ac:dyDescent="0.25">
      <c r="V158" s="47"/>
      <c r="W158" s="47"/>
      <c r="X158" s="47"/>
    </row>
    <row r="159" spans="22:24" x14ac:dyDescent="0.25">
      <c r="V159" s="47"/>
      <c r="W159" s="47"/>
      <c r="X159" s="47"/>
    </row>
    <row r="160" spans="22:24" x14ac:dyDescent="0.25">
      <c r="V160" s="47"/>
      <c r="W160" s="47"/>
      <c r="X160" s="47"/>
    </row>
    <row r="161" spans="22:24" x14ac:dyDescent="0.25">
      <c r="V161" s="47"/>
      <c r="W161" s="47"/>
      <c r="X161" s="47"/>
    </row>
    <row r="162" spans="22:24" x14ac:dyDescent="0.25">
      <c r="V162" s="47"/>
      <c r="W162" s="47"/>
      <c r="X162" s="47"/>
    </row>
    <row r="163" spans="22:24" x14ac:dyDescent="0.25">
      <c r="V163" s="47"/>
      <c r="W163" s="47"/>
      <c r="X163" s="47"/>
    </row>
    <row r="164" spans="22:24" x14ac:dyDescent="0.25">
      <c r="V164" s="47"/>
      <c r="W164" s="47"/>
      <c r="X164" s="47"/>
    </row>
    <row r="165" spans="22:24" x14ac:dyDescent="0.25">
      <c r="V165" s="47"/>
      <c r="W165" s="47"/>
      <c r="X165" s="47"/>
    </row>
    <row r="166" spans="22:24" x14ac:dyDescent="0.25">
      <c r="V166" s="47"/>
      <c r="W166" s="47"/>
      <c r="X166" s="47"/>
    </row>
    <row r="167" spans="22:24" x14ac:dyDescent="0.25">
      <c r="V167" s="47"/>
      <c r="W167" s="47"/>
      <c r="X167" s="47"/>
    </row>
    <row r="168" spans="22:24" x14ac:dyDescent="0.25">
      <c r="V168" s="47"/>
      <c r="W168" s="47"/>
      <c r="X168" s="47"/>
    </row>
    <row r="169" spans="22:24" x14ac:dyDescent="0.25">
      <c r="V169" s="47"/>
      <c r="W169" s="47"/>
      <c r="X169" s="47"/>
    </row>
    <row r="170" spans="22:24" x14ac:dyDescent="0.25">
      <c r="V170" s="47"/>
      <c r="W170" s="47"/>
      <c r="X170" s="47"/>
    </row>
    <row r="171" spans="22:24" x14ac:dyDescent="0.25">
      <c r="V171" s="47"/>
      <c r="W171" s="47"/>
      <c r="X171" s="47"/>
    </row>
    <row r="172" spans="22:24" x14ac:dyDescent="0.25">
      <c r="V172" s="47"/>
      <c r="W172" s="47"/>
      <c r="X172" s="47"/>
    </row>
    <row r="173" spans="22:24" x14ac:dyDescent="0.25">
      <c r="V173" s="47"/>
      <c r="W173" s="47"/>
      <c r="X173" s="47"/>
    </row>
    <row r="174" spans="22:24" x14ac:dyDescent="0.25">
      <c r="V174" s="47"/>
      <c r="W174" s="47"/>
      <c r="X174" s="47"/>
    </row>
    <row r="175" spans="22:24" x14ac:dyDescent="0.25">
      <c r="V175" s="47"/>
      <c r="W175" s="47"/>
      <c r="X175" s="47"/>
    </row>
    <row r="176" spans="22:24" x14ac:dyDescent="0.25">
      <c r="V176" s="47"/>
      <c r="W176" s="47"/>
      <c r="X176" s="47"/>
    </row>
    <row r="177" spans="22:24" x14ac:dyDescent="0.25">
      <c r="V177" s="47"/>
      <c r="W177" s="47"/>
      <c r="X177" s="47"/>
    </row>
    <row r="178" spans="22:24" x14ac:dyDescent="0.25">
      <c r="V178" s="47"/>
      <c r="W178" s="47"/>
      <c r="X178" s="47"/>
    </row>
    <row r="179" spans="22:24" x14ac:dyDescent="0.25">
      <c r="V179" s="47"/>
      <c r="W179" s="47"/>
      <c r="X179" s="47"/>
    </row>
    <row r="180" spans="22:24" x14ac:dyDescent="0.25">
      <c r="V180" s="47"/>
      <c r="W180" s="47"/>
      <c r="X180" s="47"/>
    </row>
    <row r="181" spans="22:24" x14ac:dyDescent="0.25">
      <c r="V181" s="47"/>
      <c r="W181" s="47"/>
      <c r="X181" s="47"/>
    </row>
    <row r="182" spans="22:24" x14ac:dyDescent="0.25">
      <c r="V182" s="47"/>
      <c r="W182" s="47"/>
      <c r="X182" s="47"/>
    </row>
    <row r="183" spans="22:24" x14ac:dyDescent="0.25">
      <c r="V183" s="47"/>
      <c r="W183" s="47"/>
      <c r="X183" s="47"/>
    </row>
    <row r="184" spans="22:24" x14ac:dyDescent="0.25">
      <c r="V184" s="47"/>
      <c r="W184" s="47"/>
      <c r="X184" s="47"/>
    </row>
    <row r="185" spans="22:24" x14ac:dyDescent="0.25">
      <c r="V185" s="47"/>
      <c r="W185" s="47"/>
      <c r="X185" s="47"/>
    </row>
  </sheetData>
  <protectedRanges>
    <protectedRange sqref="D6:E7 Q6:Q7 G6:N35" name="Plage1"/>
  </protectedRanges>
  <mergeCells count="10">
    <mergeCell ref="B2:R2"/>
    <mergeCell ref="G4:N4"/>
    <mergeCell ref="G6:G15"/>
    <mergeCell ref="G16:G25"/>
    <mergeCell ref="G26:G35"/>
    <mergeCell ref="G56:K56"/>
    <mergeCell ref="P57:Q57"/>
    <mergeCell ref="W15:X15"/>
    <mergeCell ref="C5:E5"/>
    <mergeCell ref="C56:F56"/>
  </mergeCells>
  <conditionalFormatting sqref="N61">
    <cfRule type="cellIs" dxfId="9" priority="1" operator="greaterThan">
      <formula>0.3</formula>
    </cfRule>
    <cfRule type="cellIs" dxfId="8" priority="2" operator="between">
      <formula>0.1</formula>
      <formula>0.3</formula>
    </cfRule>
    <cfRule type="cellIs" dxfId="7" priority="3" operator="lessThan">
      <formula>0.1</formula>
    </cfRule>
  </conditionalFormatting>
  <pageMargins left="0.7" right="0.7" top="0.75" bottom="0.75" header="0.3" footer="0.3"/>
  <ignoredErrors>
    <ignoredError sqref="D62 K61:K62 U6:U35 O6:O35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6B26C-C079-4BAB-A636-2DC874375FD7}">
  <dimension ref="B1:AE73"/>
  <sheetViews>
    <sheetView showGridLines="0" zoomScale="70" zoomScaleNormal="70" workbookViewId="0">
      <selection activeCell="B49" sqref="B49"/>
    </sheetView>
  </sheetViews>
  <sheetFormatPr baseColWidth="10" defaultColWidth="10.85546875" defaultRowHeight="15" x14ac:dyDescent="0.25"/>
  <cols>
    <col min="1" max="1" width="5.5703125" style="41" customWidth="1"/>
    <col min="2" max="4" width="10.85546875" style="41"/>
    <col min="5" max="5" width="15.5703125" style="41" customWidth="1"/>
    <col min="6" max="6" width="17.7109375" style="41" customWidth="1"/>
    <col min="7" max="8" width="10.85546875" style="41"/>
    <col min="9" max="9" width="11.140625" style="41" bestFit="1" customWidth="1"/>
    <col min="10" max="10" width="12.42578125" style="41" bestFit="1" customWidth="1"/>
    <col min="11" max="11" width="11.140625" style="41" bestFit="1" customWidth="1"/>
    <col min="12" max="12" width="12.5703125" style="41" bestFit="1" customWidth="1"/>
    <col min="13" max="13" width="10.85546875" style="41"/>
    <col min="14" max="14" width="8.85546875" style="41" customWidth="1"/>
    <col min="15" max="15" width="9.42578125" style="41" customWidth="1"/>
    <col min="16" max="16" width="12.85546875" style="41" customWidth="1"/>
    <col min="17" max="17" width="10.85546875" style="41"/>
    <col min="18" max="18" width="17.42578125" style="41" customWidth="1"/>
    <col min="19" max="16384" width="10.85546875" style="41"/>
  </cols>
  <sheetData>
    <row r="1" spans="2:31" ht="15.75" thickBot="1" x14ac:dyDescent="0.3"/>
    <row r="2" spans="2:31" ht="15.75" thickBot="1" x14ac:dyDescent="0.3">
      <c r="B2" s="74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6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</row>
    <row r="3" spans="2:31" x14ac:dyDescent="0.25">
      <c r="B3" s="77"/>
      <c r="H3" s="282" t="s">
        <v>61</v>
      </c>
      <c r="I3" s="283"/>
      <c r="J3" s="283"/>
      <c r="K3" s="283"/>
      <c r="L3" s="284"/>
      <c r="R3" s="44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</row>
    <row r="4" spans="2:31" x14ac:dyDescent="0.25">
      <c r="B4" s="77"/>
      <c r="C4" s="272" t="s">
        <v>64</v>
      </c>
      <c r="D4" s="272"/>
      <c r="E4" s="272"/>
      <c r="G4" s="242" t="s">
        <v>286</v>
      </c>
      <c r="H4" s="243" t="s">
        <v>65</v>
      </c>
      <c r="I4" s="244" t="s">
        <v>62</v>
      </c>
      <c r="J4" s="245" t="s">
        <v>63</v>
      </c>
      <c r="K4" s="246" t="s">
        <v>287</v>
      </c>
      <c r="L4" s="247" t="s">
        <v>288</v>
      </c>
      <c r="P4" s="139" t="s">
        <v>289</v>
      </c>
      <c r="Q4" s="42">
        <v>20</v>
      </c>
      <c r="R4" s="44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</row>
    <row r="5" spans="2:31" x14ac:dyDescent="0.25">
      <c r="B5" s="77"/>
      <c r="C5" s="137" t="s">
        <v>61</v>
      </c>
      <c r="D5" s="79" t="s">
        <v>55</v>
      </c>
      <c r="E5" s="79"/>
      <c r="G5" s="41">
        <v>1</v>
      </c>
      <c r="H5" s="248">
        <f ca="1">20+RAND()*2</f>
        <v>21.67077505060799</v>
      </c>
      <c r="I5" s="249">
        <f t="shared" ref="I5:K14" ca="1" si="0">20+RAND()</f>
        <v>20.805160524574255</v>
      </c>
      <c r="J5" s="249">
        <f ca="1">20+RAND()*2</f>
        <v>21.485641926650608</v>
      </c>
      <c r="K5" s="249">
        <f t="shared" ca="1" si="0"/>
        <v>20.450068086196563</v>
      </c>
      <c r="L5" s="250">
        <f ca="1">20.5+RAND()</f>
        <v>20.720536917410151</v>
      </c>
      <c r="N5" s="251"/>
      <c r="P5" s="139" t="s">
        <v>12</v>
      </c>
      <c r="Q5" s="42">
        <v>19</v>
      </c>
      <c r="R5" s="38">
        <f>+Q5</f>
        <v>19</v>
      </c>
      <c r="S5" s="39">
        <v>0</v>
      </c>
      <c r="T5" s="40">
        <f ca="1">MAX(X41,Y41,Z41,AA41,AB41,AC41)</f>
        <v>1.4198191279115291</v>
      </c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</row>
    <row r="6" spans="2:31" x14ac:dyDescent="0.25">
      <c r="B6" s="77"/>
      <c r="G6" s="41">
        <v>2</v>
      </c>
      <c r="H6" s="248">
        <f t="shared" ref="H6:H14" ca="1" si="1">20+RAND()*2</f>
        <v>21.292746640724683</v>
      </c>
      <c r="I6" s="249">
        <f t="shared" ca="1" si="0"/>
        <v>20.148926755184064</v>
      </c>
      <c r="J6" s="249">
        <f t="shared" ref="J6:J14" ca="1" si="2">20+RAND()*2</f>
        <v>20.290666957619127</v>
      </c>
      <c r="K6" s="249">
        <f t="shared" ca="1" si="0"/>
        <v>20.909312901152617</v>
      </c>
      <c r="L6" s="250">
        <f t="shared" ref="L6:L14" ca="1" si="3">20.5+RAND()</f>
        <v>21.158884309357504</v>
      </c>
      <c r="N6" s="251"/>
      <c r="P6" s="139" t="s">
        <v>11</v>
      </c>
      <c r="Q6" s="42">
        <v>22</v>
      </c>
      <c r="R6" s="38">
        <f>+Q6</f>
        <v>22</v>
      </c>
      <c r="S6" s="39">
        <v>0</v>
      </c>
      <c r="T6" s="40">
        <f ca="1">T5</f>
        <v>1.4198191279115291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</row>
    <row r="7" spans="2:31" x14ac:dyDescent="0.25">
      <c r="B7" s="77"/>
      <c r="C7" s="41" t="s">
        <v>290</v>
      </c>
      <c r="G7" s="41">
        <v>3</v>
      </c>
      <c r="H7" s="248">
        <f t="shared" ca="1" si="1"/>
        <v>21.071173417284111</v>
      </c>
      <c r="I7" s="249">
        <f t="shared" ca="1" si="0"/>
        <v>20.637407860508016</v>
      </c>
      <c r="J7" s="249">
        <f t="shared" ca="1" si="2"/>
        <v>21.49645880600653</v>
      </c>
      <c r="K7" s="249">
        <f t="shared" ca="1" si="0"/>
        <v>20.813010709479805</v>
      </c>
      <c r="L7" s="250">
        <f t="shared" ca="1" si="3"/>
        <v>21.474109481934203</v>
      </c>
      <c r="N7" s="251"/>
      <c r="R7" s="44"/>
      <c r="S7" s="39"/>
      <c r="T7" s="39"/>
      <c r="U7" s="39"/>
      <c r="V7" s="252"/>
      <c r="W7" s="285"/>
      <c r="X7" s="285"/>
      <c r="Y7" s="39"/>
      <c r="Z7" s="39"/>
      <c r="AA7" s="39"/>
      <c r="AB7" s="39"/>
      <c r="AC7" s="39"/>
      <c r="AD7" s="39"/>
      <c r="AE7" s="39"/>
    </row>
    <row r="8" spans="2:31" x14ac:dyDescent="0.25">
      <c r="B8" s="77"/>
      <c r="C8" s="41" t="s">
        <v>291</v>
      </c>
      <c r="G8" s="41">
        <v>4</v>
      </c>
      <c r="H8" s="248">
        <f t="shared" ca="1" si="1"/>
        <v>21.520148581398232</v>
      </c>
      <c r="I8" s="249">
        <f t="shared" ca="1" si="0"/>
        <v>20.333781325770317</v>
      </c>
      <c r="J8" s="249">
        <f t="shared" ca="1" si="2"/>
        <v>20.675012712850691</v>
      </c>
      <c r="K8" s="249">
        <f t="shared" ca="1" si="0"/>
        <v>20.889900567280048</v>
      </c>
      <c r="L8" s="250">
        <f t="shared" ca="1" si="3"/>
        <v>20.867227991454868</v>
      </c>
      <c r="N8" s="251"/>
      <c r="P8" s="139" t="s">
        <v>13</v>
      </c>
      <c r="Q8" s="51">
        <f ca="1">AVERAGE(H5:L14)</f>
        <v>20.866583123656955</v>
      </c>
      <c r="R8" s="44"/>
      <c r="S8" s="39"/>
      <c r="T8" s="39"/>
      <c r="U8" s="39"/>
      <c r="V8" s="253"/>
      <c r="W8" s="39"/>
      <c r="X8" s="39"/>
      <c r="Y8" s="39"/>
      <c r="Z8" s="39"/>
      <c r="AA8" s="39"/>
      <c r="AB8" s="39"/>
      <c r="AC8" s="39"/>
      <c r="AD8" s="39"/>
      <c r="AE8" s="39"/>
    </row>
    <row r="9" spans="2:31" x14ac:dyDescent="0.25">
      <c r="B9" s="77"/>
      <c r="C9" s="41" t="s">
        <v>292</v>
      </c>
      <c r="G9" s="41">
        <v>5</v>
      </c>
      <c r="H9" s="248">
        <f t="shared" ca="1" si="1"/>
        <v>21.675659143323713</v>
      </c>
      <c r="I9" s="249">
        <f t="shared" ca="1" si="0"/>
        <v>20.514495371606941</v>
      </c>
      <c r="J9" s="249">
        <f t="shared" ca="1" si="2"/>
        <v>21.895641661718138</v>
      </c>
      <c r="K9" s="249">
        <f t="shared" ca="1" si="0"/>
        <v>20.682833575736588</v>
      </c>
      <c r="L9" s="250">
        <f t="shared" ca="1" si="3"/>
        <v>20.749153259852793</v>
      </c>
      <c r="N9" s="251"/>
      <c r="P9" s="139" t="s">
        <v>58</v>
      </c>
      <c r="Q9" s="51">
        <f ca="1">I36</f>
        <v>0.25861489704315199</v>
      </c>
      <c r="R9" s="44"/>
      <c r="S9" s="39"/>
      <c r="T9" s="39"/>
      <c r="U9" s="39"/>
      <c r="V9" s="39"/>
      <c r="W9" s="39"/>
      <c r="X9" s="39"/>
      <c r="Y9" s="254">
        <f ca="1">AVERAGE(H5:H14)</f>
        <v>21.357898473121356</v>
      </c>
      <c r="Z9" s="254">
        <f t="shared" ref="Z9:AC9" ca="1" si="4">AVERAGE(I5:I14)</f>
        <v>20.472704768824421</v>
      </c>
      <c r="AA9" s="254">
        <f t="shared" ca="1" si="4"/>
        <v>21.073989591974282</v>
      </c>
      <c r="AB9" s="254">
        <f t="shared" ca="1" si="4"/>
        <v>20.534536621123667</v>
      </c>
      <c r="AC9" s="254">
        <f t="shared" ca="1" si="4"/>
        <v>20.893786163241042</v>
      </c>
      <c r="AD9" s="254"/>
      <c r="AE9" s="39"/>
    </row>
    <row r="10" spans="2:31" x14ac:dyDescent="0.25">
      <c r="B10" s="77"/>
      <c r="G10" s="41">
        <v>6</v>
      </c>
      <c r="H10" s="248">
        <f t="shared" ca="1" si="1"/>
        <v>20.562584489602472</v>
      </c>
      <c r="I10" s="249">
        <f t="shared" ca="1" si="0"/>
        <v>20.022510602471954</v>
      </c>
      <c r="J10" s="249">
        <f t="shared" ca="1" si="2"/>
        <v>21.785684795713653</v>
      </c>
      <c r="K10" s="249">
        <f t="shared" ca="1" si="0"/>
        <v>20.312463869233596</v>
      </c>
      <c r="L10" s="250">
        <f t="shared" ca="1" si="3"/>
        <v>20.588015686786701</v>
      </c>
      <c r="N10" s="251"/>
      <c r="P10" s="139" t="s">
        <v>59</v>
      </c>
      <c r="Q10" s="51">
        <f ca="1">SQRT(Q9)</f>
        <v>0.50854193243345425</v>
      </c>
      <c r="R10" s="44"/>
      <c r="S10" s="39"/>
      <c r="T10" s="39"/>
      <c r="U10" s="39"/>
      <c r="V10" s="39"/>
      <c r="W10" s="39"/>
      <c r="X10" s="39"/>
      <c r="Y10" s="254">
        <f ca="1">H15</f>
        <v>0.16023592725591831</v>
      </c>
      <c r="Z10" s="254">
        <f t="shared" ref="Z10:AC10" ca="1" si="5">I15</f>
        <v>9.8095706296490073E-2</v>
      </c>
      <c r="AA10" s="254">
        <f t="shared" ca="1" si="5"/>
        <v>0.35386838997084435</v>
      </c>
      <c r="AB10" s="254">
        <f t="shared" ca="1" si="5"/>
        <v>0.10589284597236322</v>
      </c>
      <c r="AC10" s="254">
        <f t="shared" ca="1" si="5"/>
        <v>7.8206837370458457E-2</v>
      </c>
      <c r="AD10" s="39"/>
      <c r="AE10" s="39"/>
    </row>
    <row r="11" spans="2:31" x14ac:dyDescent="0.25">
      <c r="B11" s="77"/>
      <c r="C11" s="41" t="s">
        <v>293</v>
      </c>
      <c r="G11" s="41">
        <v>7</v>
      </c>
      <c r="H11" s="248">
        <f t="shared" ca="1" si="1"/>
        <v>21.357572128242978</v>
      </c>
      <c r="I11" s="249">
        <f t="shared" ca="1" si="0"/>
        <v>20.041733889225569</v>
      </c>
      <c r="J11" s="249">
        <f t="shared" ca="1" si="2"/>
        <v>21.036911924950438</v>
      </c>
      <c r="K11" s="249">
        <f t="shared" ca="1" si="0"/>
        <v>20.806232875940591</v>
      </c>
      <c r="L11" s="250">
        <f t="shared" ca="1" si="3"/>
        <v>20.520465179350847</v>
      </c>
      <c r="N11" s="251"/>
      <c r="P11" s="139" t="s">
        <v>14</v>
      </c>
      <c r="Q11" s="51">
        <f ca="1">MIN(H5:L14)</f>
        <v>20.008929908621017</v>
      </c>
      <c r="R11" s="44"/>
      <c r="S11" s="39"/>
      <c r="T11" s="39"/>
      <c r="U11" s="39"/>
      <c r="V11" s="117">
        <v>-3</v>
      </c>
      <c r="W11" s="118">
        <f ca="1">Q$8+V11*SQRT(Q$9)</f>
        <v>19.340957326356591</v>
      </c>
      <c r="X11" s="119">
        <f ca="1">NORMDIST(W11,Q$8,SQRT(Q$9),0)</f>
        <v>8.7148141171581872E-3</v>
      </c>
      <c r="Y11" s="119">
        <f ca="1">NORMDIST($W11,Y$9,SQRT(Y$10),0)</f>
        <v>3.0592892110403167E-6</v>
      </c>
      <c r="Z11" s="119">
        <f t="shared" ref="Z11:AC11" ca="1" si="6">NORMDIST($W11,Z$9,SQRT(Z$10),0)</f>
        <v>1.8610443151131479E-3</v>
      </c>
      <c r="AA11" s="119">
        <f t="shared" ca="1" si="6"/>
        <v>9.6269125783894662E-3</v>
      </c>
      <c r="AB11" s="119">
        <f t="shared" ca="1" si="6"/>
        <v>1.469203595045562E-3</v>
      </c>
      <c r="AC11" s="119">
        <f t="shared" ca="1" si="6"/>
        <v>2.8786730756447231E-7</v>
      </c>
      <c r="AD11" s="39"/>
      <c r="AE11" s="39"/>
    </row>
    <row r="12" spans="2:31" x14ac:dyDescent="0.25">
      <c r="B12" s="77"/>
      <c r="C12" s="41" t="s">
        <v>294</v>
      </c>
      <c r="G12" s="41">
        <v>8</v>
      </c>
      <c r="H12" s="248">
        <f t="shared" ca="1" si="1"/>
        <v>21.626551450229627</v>
      </c>
      <c r="I12" s="249">
        <f t="shared" ca="1" si="0"/>
        <v>20.725952141135391</v>
      </c>
      <c r="J12" s="249">
        <f t="shared" ca="1" si="2"/>
        <v>20.914656301026607</v>
      </c>
      <c r="K12" s="249">
        <f t="shared" ca="1" si="0"/>
        <v>20.202097789021394</v>
      </c>
      <c r="L12" s="250">
        <f t="shared" ca="1" si="3"/>
        <v>20.920759178248929</v>
      </c>
      <c r="N12" s="251"/>
      <c r="P12" s="139" t="s">
        <v>15</v>
      </c>
      <c r="Q12" s="51">
        <f ca="1">MAX(H5:L14)</f>
        <v>21.895641661718138</v>
      </c>
      <c r="R12" s="44"/>
      <c r="S12" s="39"/>
      <c r="T12" s="39"/>
      <c r="U12" s="39"/>
      <c r="V12" s="117">
        <v>-2.9</v>
      </c>
      <c r="W12" s="118">
        <f ca="1">Q$8+V12*SQRT(Q$9)</f>
        <v>19.391811519599937</v>
      </c>
      <c r="X12" s="119">
        <f ca="1">NORMDIST(W12,Q$8,SQRT(Q$9),0)</f>
        <v>1.1705096551806477E-2</v>
      </c>
      <c r="Y12" s="119">
        <f t="shared" ref="Y12:AC62" ca="1" si="7">NORMDIST($W12,Y$9,SQRT(Y$10),0)</f>
        <v>5.7559314139481193E-6</v>
      </c>
      <c r="Z12" s="119">
        <f t="shared" ca="1" si="7"/>
        <v>3.3024671509052968E-3</v>
      </c>
      <c r="AA12" s="119">
        <f t="shared" ca="1" si="7"/>
        <v>1.2304454902259756E-2</v>
      </c>
      <c r="AB12" s="119">
        <f t="shared" ca="1" si="7"/>
        <v>2.5746567958421685E-3</v>
      </c>
      <c r="AC12" s="119">
        <f t="shared" ca="1" si="7"/>
        <v>7.7719903056701362E-7</v>
      </c>
      <c r="AD12" s="39"/>
      <c r="AE12" s="39"/>
    </row>
    <row r="13" spans="2:31" x14ac:dyDescent="0.25">
      <c r="B13" s="77"/>
      <c r="G13" s="41">
        <v>9</v>
      </c>
      <c r="H13" s="248">
        <f t="shared" ca="1" si="1"/>
        <v>21.86027986175845</v>
      </c>
      <c r="I13" s="249">
        <f t="shared" ca="1" si="0"/>
        <v>20.663057438065593</v>
      </c>
      <c r="J13" s="249">
        <f t="shared" ca="1" si="2"/>
        <v>21.007918222336201</v>
      </c>
      <c r="K13" s="249">
        <f t="shared" ca="1" si="0"/>
        <v>20.008929908621017</v>
      </c>
      <c r="L13" s="250">
        <f t="shared" ca="1" si="3"/>
        <v>20.978218048430037</v>
      </c>
      <c r="N13" s="255">
        <f ca="1">SUM(I10:L10)</f>
        <v>82.708674954205904</v>
      </c>
      <c r="P13" s="139" t="s">
        <v>295</v>
      </c>
      <c r="Q13" s="51">
        <f ca="1">MIN((Q6-Q8)/(3*SQRT(Q9)),(Q8-Q5)/(3*SQRT(Q9)))</f>
        <v>0.74291931766535235</v>
      </c>
      <c r="R13" s="44"/>
      <c r="S13" s="39"/>
      <c r="T13" s="39"/>
      <c r="U13" s="39"/>
      <c r="V13" s="117">
        <v>-2.8</v>
      </c>
      <c r="W13" s="118">
        <f ca="1">Q$8+V13*SQRT(Q$9)</f>
        <v>19.442665712843283</v>
      </c>
      <c r="X13" s="119">
        <f ca="1">NORMDIST(W13,Q$8,SQRT(Q$9),0)</f>
        <v>1.5564992930087885E-2</v>
      </c>
      <c r="Y13" s="119">
        <f t="shared" ca="1" si="7"/>
        <v>1.065617471194209E-5</v>
      </c>
      <c r="Z13" s="119">
        <f t="shared" ca="1" si="7"/>
        <v>5.7078264966644553E-3</v>
      </c>
      <c r="AA13" s="119">
        <f t="shared" ca="1" si="7"/>
        <v>1.5612189314594575E-2</v>
      </c>
      <c r="AB13" s="119">
        <f t="shared" ca="1" si="7"/>
        <v>4.4030156546773511E-3</v>
      </c>
      <c r="AC13" s="119">
        <f t="shared" ca="1" si="7"/>
        <v>2.0300693551878196E-6</v>
      </c>
      <c r="AD13" s="39"/>
      <c r="AE13" s="39"/>
    </row>
    <row r="14" spans="2:31" x14ac:dyDescent="0.25">
      <c r="B14" s="77"/>
      <c r="G14" s="41">
        <v>10</v>
      </c>
      <c r="H14" s="248">
        <f t="shared" ca="1" si="1"/>
        <v>20.941493968041303</v>
      </c>
      <c r="I14" s="249">
        <f t="shared" ca="1" si="0"/>
        <v>20.83402177970213</v>
      </c>
      <c r="J14" s="249">
        <f t="shared" ca="1" si="2"/>
        <v>20.151302610870822</v>
      </c>
      <c r="K14" s="249">
        <f t="shared" ca="1" si="0"/>
        <v>20.270515928574433</v>
      </c>
      <c r="L14" s="250">
        <f t="shared" ca="1" si="3"/>
        <v>20.960491579584428</v>
      </c>
      <c r="N14" s="255">
        <f ca="1">SUM(I11:L11)</f>
        <v>82.405343869467444</v>
      </c>
      <c r="R14" s="44"/>
      <c r="S14" s="39"/>
      <c r="T14" s="39"/>
      <c r="U14" s="39"/>
      <c r="V14" s="117">
        <v>-2.7</v>
      </c>
      <c r="W14" s="118">
        <f ca="1">Q$8+V14*SQRT(Q$9)</f>
        <v>19.493519906086629</v>
      </c>
      <c r="X14" s="119">
        <f ca="1">NORMDIST(W14,Q$8,SQRT(Q$9),0)</f>
        <v>2.0491790646558428E-2</v>
      </c>
      <c r="Y14" s="119">
        <f t="shared" ca="1" si="7"/>
        <v>1.9412331583876797E-5</v>
      </c>
      <c r="Z14" s="119">
        <f t="shared" ca="1" si="7"/>
        <v>9.608453327056541E-3</v>
      </c>
      <c r="AA14" s="119">
        <f t="shared" ca="1" si="7"/>
        <v>1.9664880800112732E-2</v>
      </c>
      <c r="AB14" s="119">
        <f t="shared" ca="1" si="7"/>
        <v>7.3480928427689871E-3</v>
      </c>
      <c r="AC14" s="119">
        <f t="shared" ca="1" si="7"/>
        <v>5.1301282382518639E-6</v>
      </c>
      <c r="AD14" s="39"/>
      <c r="AE14" s="39"/>
    </row>
    <row r="15" spans="2:31" ht="15.75" thickBot="1" x14ac:dyDescent="0.3">
      <c r="B15" s="83"/>
      <c r="C15" s="84"/>
      <c r="D15" s="84"/>
      <c r="E15" s="84"/>
      <c r="F15" s="84"/>
      <c r="G15" s="256" t="s">
        <v>91</v>
      </c>
      <c r="H15" s="257">
        <f ca="1">VAR(H5:H14)</f>
        <v>0.16023592725591831</v>
      </c>
      <c r="I15" s="258">
        <f t="shared" ref="I15:L15" ca="1" si="8">VAR(I5:I14)</f>
        <v>9.8095706296490073E-2</v>
      </c>
      <c r="J15" s="258">
        <f t="shared" ca="1" si="8"/>
        <v>0.35386838997084435</v>
      </c>
      <c r="K15" s="258">
        <f t="shared" ca="1" si="8"/>
        <v>0.10589284597236322</v>
      </c>
      <c r="L15" s="259">
        <f t="shared" ca="1" si="8"/>
        <v>7.8206837370458457E-2</v>
      </c>
      <c r="M15" s="84"/>
      <c r="N15" s="85"/>
      <c r="O15" s="84"/>
      <c r="P15" s="84"/>
      <c r="Q15" s="84"/>
      <c r="R15" s="86"/>
      <c r="S15" s="39"/>
      <c r="T15" s="39"/>
      <c r="U15" s="39"/>
      <c r="V15" s="117">
        <v>-2.6</v>
      </c>
      <c r="W15" s="118">
        <f ca="1">Q$8+V15*SQRT(Q$9)</f>
        <v>19.544374099329975</v>
      </c>
      <c r="X15" s="119">
        <f ca="1">NORMDIST(W15,Q$8,SQRT(Q$9),0)</f>
        <v>2.6709634677889758E-2</v>
      </c>
      <c r="Y15" s="119">
        <f t="shared" ca="1" si="7"/>
        <v>3.47972334068958E-5</v>
      </c>
      <c r="Z15" s="119">
        <f t="shared" ca="1" si="7"/>
        <v>1.575384874961781E-2</v>
      </c>
      <c r="AA15" s="119">
        <f t="shared" ca="1" si="7"/>
        <v>2.4589228731245513E-2</v>
      </c>
      <c r="AB15" s="119">
        <f t="shared" ca="1" si="7"/>
        <v>1.1967200340524125E-2</v>
      </c>
      <c r="AC15" s="119">
        <f t="shared" ca="1" si="7"/>
        <v>1.2542505152239681E-5</v>
      </c>
      <c r="AD15" s="39"/>
      <c r="AE15" s="39"/>
    </row>
    <row r="16" spans="2:31" x14ac:dyDescent="0.25">
      <c r="B16" s="87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260"/>
      <c r="O16" s="114"/>
      <c r="P16" s="114"/>
      <c r="Q16" s="114"/>
      <c r="R16" s="90"/>
      <c r="S16" s="39"/>
      <c r="T16" s="39"/>
      <c r="U16" s="39"/>
      <c r="V16" s="117">
        <v>-2.5</v>
      </c>
      <c r="W16" s="118">
        <f t="shared" ref="W16:W71" ca="1" si="9">Q$8+V16*SQRT(Q$9)</f>
        <v>19.595228292573321</v>
      </c>
      <c r="X16" s="119">
        <f t="shared" ref="X16:X71" ca="1" si="10">NORMDIST(W16,Q$8,SQRT(Q$9),0)</f>
        <v>3.4467758459352439E-2</v>
      </c>
      <c r="Y16" s="119">
        <f t="shared" ca="1" si="7"/>
        <v>6.137653662171915E-5</v>
      </c>
      <c r="Z16" s="119">
        <f t="shared" ca="1" si="7"/>
        <v>2.5157664618320488E-2</v>
      </c>
      <c r="AA16" s="119">
        <f t="shared" ca="1" si="7"/>
        <v>3.0522814312520141E-2</v>
      </c>
      <c r="AB16" s="119">
        <f t="shared" ca="1" si="7"/>
        <v>1.9019715188369275E-2</v>
      </c>
      <c r="AC16" s="119">
        <f t="shared" ca="1" si="7"/>
        <v>2.9667371889060863E-5</v>
      </c>
      <c r="AD16" s="39"/>
      <c r="AE16" s="39"/>
    </row>
    <row r="17" spans="2:31" x14ac:dyDescent="0.25">
      <c r="B17" s="77"/>
      <c r="R17" s="44"/>
      <c r="S17" s="39"/>
      <c r="T17" s="39"/>
      <c r="U17" s="39"/>
      <c r="V17" s="117">
        <v>-2.4</v>
      </c>
      <c r="W17" s="118">
        <f t="shared" ca="1" si="9"/>
        <v>19.646082485816667</v>
      </c>
      <c r="X17" s="119">
        <f t="shared" ca="1" si="10"/>
        <v>4.4036742826066809E-2</v>
      </c>
      <c r="Y17" s="119">
        <f t="shared" ca="1" si="7"/>
        <v>1.0652479005710166E-4</v>
      </c>
      <c r="Z17" s="119">
        <f t="shared" ca="1" si="7"/>
        <v>3.9129512725233719E-2</v>
      </c>
      <c r="AA17" s="119">
        <f t="shared" ca="1" si="7"/>
        <v>3.7612337262730104E-2</v>
      </c>
      <c r="AB17" s="119">
        <f t="shared" ca="1" si="7"/>
        <v>2.9499114407988167E-2</v>
      </c>
      <c r="AC17" s="119">
        <f t="shared" ca="1" si="7"/>
        <v>6.7891059143797476E-5</v>
      </c>
      <c r="AD17" s="39"/>
      <c r="AE17" s="39"/>
    </row>
    <row r="18" spans="2:31" x14ac:dyDescent="0.25">
      <c r="B18" s="77"/>
      <c r="R18" s="44"/>
      <c r="S18" s="39"/>
      <c r="T18" s="39"/>
      <c r="U18" s="39"/>
      <c r="V18" s="117">
        <v>-2.2999999999999998</v>
      </c>
      <c r="W18" s="118">
        <f t="shared" ca="1" si="9"/>
        <v>19.696936679060009</v>
      </c>
      <c r="X18" s="119">
        <f t="shared" ca="1" si="10"/>
        <v>5.570246214712643E-2</v>
      </c>
      <c r="Y18" s="119">
        <f t="shared" ca="1" si="7"/>
        <v>1.8192385169622265E-4</v>
      </c>
      <c r="Z18" s="119">
        <f t="shared" ca="1" si="7"/>
        <v>5.9277382895319329E-2</v>
      </c>
      <c r="AA18" s="119">
        <f t="shared" ca="1" si="7"/>
        <v>4.6011050397755396E-2</v>
      </c>
      <c r="AB18" s="119">
        <f t="shared" ca="1" si="7"/>
        <v>4.4648561205777273E-2</v>
      </c>
      <c r="AC18" s="119">
        <f t="shared" ca="1" si="7"/>
        <v>1.5030894035774909E-4</v>
      </c>
      <c r="AD18" s="39"/>
      <c r="AE18" s="39"/>
    </row>
    <row r="19" spans="2:31" x14ac:dyDescent="0.25">
      <c r="B19" s="77"/>
      <c r="R19" s="44"/>
      <c r="S19" s="39"/>
      <c r="T19" s="39"/>
      <c r="U19" s="39"/>
      <c r="V19" s="117">
        <v>-2.2000000000000002</v>
      </c>
      <c r="W19" s="118">
        <f t="shared" ca="1" si="9"/>
        <v>19.747790872303355</v>
      </c>
      <c r="X19" s="119">
        <f t="shared" ca="1" si="10"/>
        <v>6.9757458694664029E-2</v>
      </c>
      <c r="Y19" s="119">
        <f t="shared" ca="1" si="7"/>
        <v>3.0571675728482186E-4</v>
      </c>
      <c r="Z19" s="119">
        <f t="shared" ca="1" si="7"/>
        <v>8.7462939187440122E-2</v>
      </c>
      <c r="AA19" s="119">
        <f t="shared" ca="1" si="7"/>
        <v>5.5875323882602843E-2</v>
      </c>
      <c r="AB19" s="119">
        <f t="shared" ca="1" si="7"/>
        <v>6.5947673585086478E-2</v>
      </c>
      <c r="AC19" s="119">
        <f t="shared" ca="1" si="7"/>
        <v>3.2195543660463186E-4</v>
      </c>
      <c r="AD19" s="39"/>
      <c r="AE19" s="39"/>
    </row>
    <row r="20" spans="2:31" x14ac:dyDescent="0.25">
      <c r="B20" s="77"/>
      <c r="R20" s="44"/>
      <c r="S20" s="39"/>
      <c r="T20" s="39"/>
      <c r="U20" s="39"/>
      <c r="V20" s="117">
        <v>-2.1</v>
      </c>
      <c r="W20" s="118">
        <f t="shared" ca="1" si="9"/>
        <v>19.798645065546701</v>
      </c>
      <c r="X20" s="119">
        <f t="shared" ca="1" si="10"/>
        <v>8.6489615064698072E-2</v>
      </c>
      <c r="Y20" s="119">
        <f t="shared" ca="1" si="7"/>
        <v>5.0552133955277466E-4</v>
      </c>
      <c r="Z20" s="119">
        <f t="shared" ca="1" si="7"/>
        <v>0.125692562155274</v>
      </c>
      <c r="AA20" s="119">
        <f t="shared" ca="1" si="7"/>
        <v>6.7360303977516842E-2</v>
      </c>
      <c r="AB20" s="119">
        <f t="shared" ca="1" si="7"/>
        <v>9.5057198818420188E-2</v>
      </c>
      <c r="AC20" s="119">
        <f t="shared" ca="1" si="7"/>
        <v>6.671837097043502E-4</v>
      </c>
      <c r="AD20" s="39"/>
      <c r="AE20" s="39"/>
    </row>
    <row r="21" spans="2:31" x14ac:dyDescent="0.25">
      <c r="B21" s="77"/>
      <c r="R21" s="44"/>
      <c r="S21" s="39"/>
      <c r="T21" s="39"/>
      <c r="U21" s="39"/>
      <c r="V21" s="117">
        <v>-2</v>
      </c>
      <c r="W21" s="118">
        <f t="shared" ca="1" si="9"/>
        <v>19.849499258790047</v>
      </c>
      <c r="X21" s="119">
        <f t="shared" ca="1" si="10"/>
        <v>0.10616817035093394</v>
      </c>
      <c r="Y21" s="119">
        <f t="shared" ca="1" si="7"/>
        <v>8.225274275723833E-4</v>
      </c>
      <c r="Z21" s="119">
        <f t="shared" ca="1" si="7"/>
        <v>0.17593228992432666</v>
      </c>
      <c r="AA21" s="119">
        <f t="shared" ca="1" si="7"/>
        <v>8.0614674058404265E-2</v>
      </c>
      <c r="AB21" s="119">
        <f t="shared" ca="1" si="7"/>
        <v>0.13371005451959575</v>
      </c>
      <c r="AC21" s="119">
        <f t="shared" ca="1" si="7"/>
        <v>1.3376233006566465E-3</v>
      </c>
      <c r="AD21" s="39"/>
      <c r="AE21" s="39"/>
    </row>
    <row r="22" spans="2:31" x14ac:dyDescent="0.25">
      <c r="B22" s="77"/>
      <c r="R22" s="44"/>
      <c r="S22" s="39"/>
      <c r="T22" s="39"/>
      <c r="U22" s="39"/>
      <c r="V22" s="117">
        <v>-1.9</v>
      </c>
      <c r="W22" s="118">
        <f t="shared" ca="1" si="9"/>
        <v>19.900353452033393</v>
      </c>
      <c r="X22" s="119">
        <f t="shared" ca="1" si="10"/>
        <v>0.12902734384300354</v>
      </c>
      <c r="Y22" s="119">
        <f t="shared" ca="1" si="7"/>
        <v>1.3168973713094585E-3</v>
      </c>
      <c r="Z22" s="119">
        <f t="shared" ca="1" si="7"/>
        <v>0.23984573316310026</v>
      </c>
      <c r="AA22" s="119">
        <f t="shared" ca="1" si="7"/>
        <v>9.5774577689008378E-2</v>
      </c>
      <c r="AB22" s="119">
        <f t="shared" ca="1" si="7"/>
        <v>0.18354249911744186</v>
      </c>
      <c r="AC22" s="119">
        <f t="shared" ca="1" si="7"/>
        <v>2.5945433876624867E-3</v>
      </c>
      <c r="AD22" s="39"/>
      <c r="AE22" s="39"/>
    </row>
    <row r="23" spans="2:31" x14ac:dyDescent="0.25">
      <c r="B23" s="77"/>
      <c r="R23" s="44"/>
      <c r="S23" s="39"/>
      <c r="T23" s="39"/>
      <c r="U23" s="39"/>
      <c r="V23" s="117">
        <v>-1.8</v>
      </c>
      <c r="W23" s="118">
        <f t="shared" ca="1" si="9"/>
        <v>19.951207645276739</v>
      </c>
      <c r="X23" s="119">
        <f t="shared" ca="1" si="10"/>
        <v>0.15524807939259877</v>
      </c>
      <c r="Y23" s="119">
        <f t="shared" ca="1" si="7"/>
        <v>2.0746465567644018E-3</v>
      </c>
      <c r="Z23" s="119">
        <f t="shared" ca="1" si="7"/>
        <v>0.3184702751316944</v>
      </c>
      <c r="AA23" s="119">
        <f t="shared" ca="1" si="7"/>
        <v>0.11295682279158352</v>
      </c>
      <c r="AB23" s="119">
        <f t="shared" ca="1" si="7"/>
        <v>0.24586841233796922</v>
      </c>
      <c r="AC23" s="119">
        <f t="shared" ca="1" si="7"/>
        <v>4.8688542130593208E-3</v>
      </c>
      <c r="AD23" s="39"/>
      <c r="AE23" s="39"/>
    </row>
    <row r="24" spans="2:31" x14ac:dyDescent="0.25">
      <c r="B24" s="77"/>
      <c r="R24" s="44"/>
      <c r="S24" s="39"/>
      <c r="T24" s="39"/>
      <c r="U24" s="39"/>
      <c r="V24" s="117">
        <v>-1.7</v>
      </c>
      <c r="W24" s="118">
        <f t="shared" ca="1" si="9"/>
        <v>20.002061838520085</v>
      </c>
      <c r="X24" s="119">
        <f t="shared" ca="1" si="10"/>
        <v>0.18493868721276863</v>
      </c>
      <c r="Y24" s="119">
        <f t="shared" ca="1" si="7"/>
        <v>3.2160808280861188E-3</v>
      </c>
      <c r="Z24" s="119">
        <f t="shared" ca="1" si="7"/>
        <v>0.41186631520348826</v>
      </c>
      <c r="AA24" s="119">
        <f t="shared" ca="1" si="7"/>
        <v>0.13225154977876069</v>
      </c>
      <c r="AB24" s="119">
        <f t="shared" ca="1" si="7"/>
        <v>0.32141219750241246</v>
      </c>
      <c r="AC24" s="119">
        <f t="shared" ca="1" si="7"/>
        <v>8.8395737727639534E-3</v>
      </c>
      <c r="AD24" s="39"/>
      <c r="AE24" s="39"/>
    </row>
    <row r="25" spans="2:31" x14ac:dyDescent="0.25">
      <c r="B25" s="77"/>
      <c r="R25" s="44"/>
      <c r="S25" s="39"/>
      <c r="T25" s="39"/>
      <c r="U25" s="39"/>
      <c r="V25" s="117">
        <v>-1.6</v>
      </c>
      <c r="W25" s="118">
        <f t="shared" ca="1" si="9"/>
        <v>20.052916031763427</v>
      </c>
      <c r="X25" s="119">
        <f t="shared" ca="1" si="10"/>
        <v>0.21811541508225532</v>
      </c>
      <c r="Y25" s="119">
        <f t="shared" ca="1" si="7"/>
        <v>4.9056938008702044E-3</v>
      </c>
      <c r="Z25" s="119">
        <f t="shared" ca="1" si="7"/>
        <v>0.51879300347594215</v>
      </c>
      <c r="AA25" s="119">
        <f t="shared" ca="1" si="7"/>
        <v>0.15371461122943103</v>
      </c>
      <c r="AB25" s="119">
        <f t="shared" ca="1" si="7"/>
        <v>0.41002986719335521</v>
      </c>
      <c r="AC25" s="119">
        <f t="shared" ca="1" si="7"/>
        <v>1.5526536885750661E-2</v>
      </c>
      <c r="AD25" s="39"/>
      <c r="AE25" s="39"/>
    </row>
    <row r="26" spans="2:31" x14ac:dyDescent="0.25">
      <c r="B26" s="77"/>
      <c r="R26" s="44"/>
      <c r="S26" s="39"/>
      <c r="T26" s="39"/>
      <c r="U26" s="39"/>
      <c r="V26" s="117">
        <v>-1.5</v>
      </c>
      <c r="W26" s="118">
        <f t="shared" ca="1" si="9"/>
        <v>20.103770225006773</v>
      </c>
      <c r="X26" s="119">
        <f t="shared" ca="1" si="10"/>
        <v>0.25468420086054483</v>
      </c>
      <c r="Y26" s="119">
        <f t="shared" ca="1" si="7"/>
        <v>7.3631655695559862E-3</v>
      </c>
      <c r="Z26" s="119">
        <f t="shared" ca="1" si="7"/>
        <v>0.63647655622647259</v>
      </c>
      <c r="AA26" s="119">
        <f t="shared" ca="1" si="7"/>
        <v>0.1773599718899409</v>
      </c>
      <c r="AB26" s="119">
        <f t="shared" ca="1" si="7"/>
        <v>0.51046051249716373</v>
      </c>
      <c r="AC26" s="119">
        <f t="shared" ca="1" si="7"/>
        <v>2.6384969402229109E-2</v>
      </c>
      <c r="AD26" s="39"/>
      <c r="AE26" s="39"/>
    </row>
    <row r="27" spans="2:31" x14ac:dyDescent="0.25">
      <c r="B27" s="77"/>
      <c r="R27" s="44"/>
      <c r="S27" s="39"/>
      <c r="T27" s="39"/>
      <c r="U27" s="39"/>
      <c r="V27" s="117">
        <v>-1.4</v>
      </c>
      <c r="W27" s="118">
        <f t="shared" ca="1" si="9"/>
        <v>20.154624418250119</v>
      </c>
      <c r="X27" s="119">
        <f t="shared" ca="1" si="10"/>
        <v>0.29442501411687921</v>
      </c>
      <c r="Y27" s="119">
        <f t="shared" ca="1" si="7"/>
        <v>1.0874751504180706E-2</v>
      </c>
      <c r="Z27" s="119">
        <f t="shared" ca="1" si="7"/>
        <v>0.76053845428229117</v>
      </c>
      <c r="AA27" s="119">
        <f t="shared" ca="1" si="7"/>
        <v>0.20315249048316236</v>
      </c>
      <c r="AB27" s="119">
        <f t="shared" ca="1" si="7"/>
        <v>0.62015797506769599</v>
      </c>
      <c r="AC27" s="119">
        <f t="shared" ca="1" si="7"/>
        <v>4.3378777759642065E-2</v>
      </c>
      <c r="AD27" s="39"/>
      <c r="AE27" s="39"/>
    </row>
    <row r="28" spans="2:31" x14ac:dyDescent="0.25">
      <c r="B28" s="77"/>
      <c r="R28" s="44"/>
      <c r="S28" s="39"/>
      <c r="T28" s="39"/>
      <c r="U28" s="39"/>
      <c r="V28" s="117">
        <v>-1.3</v>
      </c>
      <c r="W28" s="118">
        <f t="shared" ca="1" si="9"/>
        <v>20.205478611493465</v>
      </c>
      <c r="X28" s="119">
        <f t="shared" ca="1" si="10"/>
        <v>0.33698025888992372</v>
      </c>
      <c r="Y28" s="119">
        <f t="shared" ca="1" si="7"/>
        <v>1.5803917870315726E-2</v>
      </c>
      <c r="Z28" s="119">
        <f t="shared" ca="1" si="7"/>
        <v>0.88513682366685142</v>
      </c>
      <c r="AA28" s="119">
        <f t="shared" ca="1" si="7"/>
        <v>0.23100148381622904</v>
      </c>
      <c r="AB28" s="119">
        <f t="shared" ca="1" si="7"/>
        <v>0.73525169604066376</v>
      </c>
      <c r="AC28" s="119">
        <f t="shared" ca="1" si="7"/>
        <v>6.8998039074911796E-2</v>
      </c>
      <c r="AD28" s="39"/>
      <c r="AE28" s="39"/>
    </row>
    <row r="29" spans="2:31" x14ac:dyDescent="0.25">
      <c r="B29" s="77"/>
      <c r="R29" s="44"/>
      <c r="S29" s="39"/>
      <c r="T29" s="39"/>
      <c r="U29" s="39"/>
      <c r="V29" s="117">
        <v>-1.2</v>
      </c>
      <c r="W29" s="118">
        <f t="shared" ca="1" si="9"/>
        <v>20.256332804736811</v>
      </c>
      <c r="X29" s="119">
        <f t="shared" ca="1" si="10"/>
        <v>0.38184865907517612</v>
      </c>
      <c r="Y29" s="119">
        <f t="shared" ca="1" si="7"/>
        <v>2.2599604193690479E-2</v>
      </c>
      <c r="Z29" s="119">
        <f t="shared" ca="1" si="7"/>
        <v>1.0033445701794126</v>
      </c>
      <c r="AA29" s="119">
        <f t="shared" ca="1" si="7"/>
        <v>0.26075549398474734</v>
      </c>
      <c r="AB29" s="119">
        <f t="shared" ca="1" si="7"/>
        <v>0.85067419381572651</v>
      </c>
      <c r="AC29" s="119">
        <f t="shared" ca="1" si="7"/>
        <v>0.10617808937296522</v>
      </c>
      <c r="AD29" s="39"/>
      <c r="AE29" s="39"/>
    </row>
    <row r="30" spans="2:31" x14ac:dyDescent="0.25">
      <c r="B30" s="77"/>
      <c r="R30" s="44"/>
      <c r="S30" s="39"/>
      <c r="T30" s="39"/>
      <c r="U30" s="39"/>
      <c r="V30" s="117">
        <v>-1.1000000000000001</v>
      </c>
      <c r="W30" s="118">
        <f t="shared" ca="1" si="9"/>
        <v>20.307186997980157</v>
      </c>
      <c r="X30" s="119">
        <f t="shared" ca="1" si="10"/>
        <v>0.42838586778890331</v>
      </c>
      <c r="Y30" s="119">
        <f t="shared" ca="1" si="7"/>
        <v>3.1800031391110636E-2</v>
      </c>
      <c r="Z30" s="119">
        <f t="shared" ca="1" si="7"/>
        <v>1.1077461917614759</v>
      </c>
      <c r="AA30" s="119">
        <f t="shared" ca="1" si="7"/>
        <v>0.29219867671735361</v>
      </c>
      <c r="AB30" s="119">
        <f t="shared" ca="1" si="7"/>
        <v>0.96047043835533308</v>
      </c>
      <c r="AC30" s="119">
        <f t="shared" ca="1" si="7"/>
        <v>0.15807812820632799</v>
      </c>
      <c r="AD30" s="39"/>
      <c r="AE30" s="39"/>
    </row>
    <row r="31" spans="2:31" x14ac:dyDescent="0.25">
      <c r="B31" s="77"/>
      <c r="R31" s="44"/>
      <c r="S31" s="39"/>
      <c r="T31" s="39"/>
      <c r="U31" s="39"/>
      <c r="V31" s="117">
        <v>-1</v>
      </c>
      <c r="W31" s="118">
        <f t="shared" ca="1" si="9"/>
        <v>20.358041191223499</v>
      </c>
      <c r="X31" s="119">
        <f t="shared" ca="1" si="10"/>
        <v>0.47581272867956842</v>
      </c>
      <c r="Y31" s="119">
        <f t="shared" ca="1" si="7"/>
        <v>4.4029617340045811E-2</v>
      </c>
      <c r="Z31" s="119">
        <f t="shared" ca="1" si="7"/>
        <v>1.191189595986953</v>
      </c>
      <c r="AA31" s="119">
        <f t="shared" ca="1" si="7"/>
        <v>0.3250491998513928</v>
      </c>
      <c r="AB31" s="119">
        <f t="shared" ca="1" si="7"/>
        <v>1.0582743454042809</v>
      </c>
      <c r="AC31" s="119">
        <f t="shared" ca="1" si="7"/>
        <v>0.22769179680173565</v>
      </c>
      <c r="AD31" s="39"/>
      <c r="AE31" s="39"/>
    </row>
    <row r="32" spans="2:31" ht="15.75" thickBot="1" x14ac:dyDescent="0.3">
      <c r="B32" s="83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6"/>
      <c r="S32" s="39"/>
      <c r="T32" s="39"/>
      <c r="U32" s="39"/>
      <c r="V32" s="117">
        <v>-0.9</v>
      </c>
      <c r="W32" s="118">
        <f t="shared" ca="1" si="9"/>
        <v>20.408895384466845</v>
      </c>
      <c r="X32" s="119">
        <f t="shared" ca="1" si="10"/>
        <v>0.52323168047420188</v>
      </c>
      <c r="Y32" s="119">
        <f t="shared" ca="1" si="7"/>
        <v>5.9986416702697554E-2</v>
      </c>
      <c r="Z32" s="119">
        <f t="shared" ca="1" si="7"/>
        <v>1.247590279770372</v>
      </c>
      <c r="AA32" s="119">
        <f t="shared" ca="1" si="7"/>
        <v>0.35895998390407152</v>
      </c>
      <c r="AB32" s="119">
        <f t="shared" ca="1" si="7"/>
        <v>1.1379051287628108</v>
      </c>
      <c r="AC32" s="119">
        <f t="shared" ca="1" si="7"/>
        <v>0.31729388664705227</v>
      </c>
      <c r="AD32" s="39"/>
      <c r="AE32" s="39"/>
    </row>
    <row r="33" spans="2:31" x14ac:dyDescent="0.25">
      <c r="B33" s="74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6"/>
      <c r="S33" s="39"/>
      <c r="T33" s="39"/>
      <c r="U33" s="39"/>
      <c r="V33" s="117">
        <v>-0.8</v>
      </c>
      <c r="W33" s="118">
        <f t="shared" ca="1" si="9"/>
        <v>20.459749577710191</v>
      </c>
      <c r="X33" s="119">
        <f t="shared" ca="1" si="10"/>
        <v>0.56965126036954739</v>
      </c>
      <c r="Y33" s="119">
        <f t="shared" ca="1" si="7"/>
        <v>8.0417686659919108E-2</v>
      </c>
      <c r="Z33" s="119">
        <f t="shared" ca="1" si="7"/>
        <v>1.272663352024425</v>
      </c>
      <c r="AA33" s="119">
        <f t="shared" ca="1" si="7"/>
        <v>0.39352203195430652</v>
      </c>
      <c r="AB33" s="119">
        <f t="shared" ca="1" si="7"/>
        <v>1.1940083469309541</v>
      </c>
      <c r="AC33" s="119">
        <f t="shared" ca="1" si="7"/>
        <v>0.42777435547777587</v>
      </c>
      <c r="AD33" s="39"/>
      <c r="AE33" s="39"/>
    </row>
    <row r="34" spans="2:31" x14ac:dyDescent="0.25">
      <c r="B34" s="77"/>
      <c r="C34" s="286" t="s">
        <v>52</v>
      </c>
      <c r="D34" s="286"/>
      <c r="E34" s="286"/>
      <c r="F34" s="286"/>
      <c r="G34" s="286" t="s">
        <v>53</v>
      </c>
      <c r="H34" s="286"/>
      <c r="I34" s="286"/>
      <c r="J34" s="286"/>
      <c r="K34" s="286"/>
      <c r="L34" s="286"/>
      <c r="M34" s="286"/>
      <c r="N34" s="286"/>
      <c r="P34" s="41" t="s">
        <v>80</v>
      </c>
      <c r="R34" s="44"/>
      <c r="S34" s="39"/>
      <c r="T34" s="39"/>
      <c r="U34" s="39"/>
      <c r="V34" s="117">
        <v>-0.7</v>
      </c>
      <c r="W34" s="118">
        <f t="shared" ca="1" si="9"/>
        <v>20.510603770953537</v>
      </c>
      <c r="X34" s="119">
        <f t="shared" ca="1" si="10"/>
        <v>0.61401806508379042</v>
      </c>
      <c r="Y34" s="119">
        <f t="shared" ca="1" si="7"/>
        <v>0.10608179949932364</v>
      </c>
      <c r="Z34" s="119">
        <f t="shared" ca="1" si="7"/>
        <v>1.2644613497122397</v>
      </c>
      <c r="AA34" s="119">
        <f t="shared" ca="1" si="7"/>
        <v>0.42827048598749751</v>
      </c>
      <c r="AB34" s="119">
        <f t="shared" ca="1" si="7"/>
        <v>1.2226501119123236</v>
      </c>
      <c r="AC34" s="119">
        <f t="shared" ca="1" si="7"/>
        <v>0.5579644219694424</v>
      </c>
      <c r="AD34" s="39"/>
      <c r="AE34" s="39"/>
    </row>
    <row r="35" spans="2:31" x14ac:dyDescent="0.25">
      <c r="B35" s="77"/>
      <c r="C35" s="52" t="s">
        <v>0</v>
      </c>
      <c r="D35" s="52" t="s">
        <v>1</v>
      </c>
      <c r="E35" s="52" t="s">
        <v>6</v>
      </c>
      <c r="F35" s="52" t="s">
        <v>7</v>
      </c>
      <c r="G35" s="52" t="s">
        <v>2</v>
      </c>
      <c r="H35" s="52" t="s">
        <v>3</v>
      </c>
      <c r="I35" s="52" t="s">
        <v>4</v>
      </c>
      <c r="J35" s="52" t="s">
        <v>214</v>
      </c>
      <c r="K35" s="52" t="s">
        <v>215</v>
      </c>
      <c r="L35" s="53" t="s">
        <v>8</v>
      </c>
      <c r="M35" s="53" t="s">
        <v>296</v>
      </c>
      <c r="N35" s="52" t="s">
        <v>297</v>
      </c>
      <c r="P35" s="270" t="s">
        <v>81</v>
      </c>
      <c r="Q35" s="270"/>
      <c r="R35" s="44"/>
      <c r="S35" s="39"/>
      <c r="T35" s="39"/>
      <c r="U35" s="39"/>
      <c r="V35" s="117">
        <v>-0.6</v>
      </c>
      <c r="W35" s="118">
        <f t="shared" ca="1" si="9"/>
        <v>20.561457964196883</v>
      </c>
      <c r="X35" s="119">
        <f t="shared" ca="1" si="10"/>
        <v>0.65525491928908786</v>
      </c>
      <c r="Y35" s="119">
        <f t="shared" ca="1" si="7"/>
        <v>0.13769584238959176</v>
      </c>
      <c r="Z35" s="119">
        <f t="shared" ca="1" si="7"/>
        <v>1.2236241636734766</v>
      </c>
      <c r="AA35" s="119">
        <f t="shared" ca="1" si="7"/>
        <v>0.4626934161094311</v>
      </c>
      <c r="AB35" s="119">
        <f t="shared" ca="1" si="7"/>
        <v>1.2217730530161426</v>
      </c>
      <c r="AC35" s="119">
        <f t="shared" ca="1" si="7"/>
        <v>0.70410428953325777</v>
      </c>
      <c r="AD35" s="39"/>
      <c r="AE35" s="39"/>
    </row>
    <row r="36" spans="2:31" x14ac:dyDescent="0.25">
      <c r="B36" s="77"/>
      <c r="C36" s="54" t="s">
        <v>9</v>
      </c>
      <c r="D36" s="54">
        <f ca="1">COUNT(H5:L14)</f>
        <v>50</v>
      </c>
      <c r="E36" s="55">
        <f ca="1">SUM(H5:L14)^2</f>
        <v>1088535.7281412131</v>
      </c>
      <c r="F36" s="55">
        <f ca="1">E36/D36</f>
        <v>21770.714562824262</v>
      </c>
      <c r="G36" s="56">
        <f ca="1">DEVSQ(H5:L14)</f>
        <v>12.672129955114448</v>
      </c>
      <c r="H36" s="54">
        <f ca="1">D36-1</f>
        <v>49</v>
      </c>
      <c r="I36" s="55">
        <f ca="1">G36/H36</f>
        <v>0.25861489704315199</v>
      </c>
      <c r="J36" s="54" t="s">
        <v>5</v>
      </c>
      <c r="K36" s="54" t="s">
        <v>5</v>
      </c>
      <c r="L36" s="57">
        <f ca="1">SUM(L38:L40)</f>
        <v>1</v>
      </c>
      <c r="M36" s="54" t="s">
        <v>5</v>
      </c>
      <c r="N36" s="54" t="s">
        <v>5</v>
      </c>
      <c r="P36" s="139" t="s">
        <v>82</v>
      </c>
      <c r="Q36" s="91">
        <f ca="1">MAX(H15:L15)/SUM(H15:L15)</f>
        <v>0.44439095847910398</v>
      </c>
      <c r="R36" s="44"/>
      <c r="S36" s="39"/>
      <c r="T36" s="39"/>
      <c r="U36" s="39"/>
      <c r="V36" s="117">
        <v>-0.5</v>
      </c>
      <c r="W36" s="118">
        <f t="shared" ca="1" si="9"/>
        <v>20.612312157440229</v>
      </c>
      <c r="X36" s="119">
        <f t="shared" ca="1" si="10"/>
        <v>0.69230343519483462</v>
      </c>
      <c r="Y36" s="119">
        <f t="shared" ca="1" si="7"/>
        <v>0.17586986211201103</v>
      </c>
      <c r="Z36" s="119">
        <f t="shared" ca="1" si="7"/>
        <v>1.1532965565618174</v>
      </c>
      <c r="AA36" s="119">
        <f t="shared" ca="1" si="7"/>
        <v>0.49624320432955932</v>
      </c>
      <c r="AB36" s="119">
        <f t="shared" ca="1" si="7"/>
        <v>1.1914406509075561</v>
      </c>
      <c r="AC36" s="119">
        <f t="shared" ca="1" si="7"/>
        <v>0.8596193711636686</v>
      </c>
      <c r="AD36" s="39"/>
      <c r="AE36" s="39"/>
    </row>
    <row r="37" spans="2:31" x14ac:dyDescent="0.25">
      <c r="B37" s="77"/>
      <c r="C37" s="54" t="s">
        <v>10</v>
      </c>
      <c r="D37" s="54" t="s">
        <v>5</v>
      </c>
      <c r="E37" s="56" t="s">
        <v>5</v>
      </c>
      <c r="F37" s="55" t="s">
        <v>5</v>
      </c>
      <c r="G37" s="55">
        <f ca="1">SUM(G39)</f>
        <v>5.5054325933197106</v>
      </c>
      <c r="H37" s="58">
        <f ca="1">SUM(H39)</f>
        <v>4</v>
      </c>
      <c r="I37" s="55">
        <f ca="1">G37/H37</f>
        <v>1.3763581483299276</v>
      </c>
      <c r="J37" s="55">
        <f ca="1">I37/I38</f>
        <v>8.6422118234020484</v>
      </c>
      <c r="K37" s="55">
        <f ca="1">FINV(0.05,H37,H38)</f>
        <v>2.5787391843115586</v>
      </c>
      <c r="L37" s="57">
        <f ca="1">G37/G36</f>
        <v>0.43445203078096023</v>
      </c>
      <c r="M37" s="54" t="s">
        <v>5</v>
      </c>
      <c r="N37" s="54" t="s">
        <v>5</v>
      </c>
      <c r="P37" s="139" t="s">
        <v>298</v>
      </c>
      <c r="Q37" s="91">
        <f ca="1">1/((1+(R46-1)/FINV(0.01/R46,R47-1,(R46)*(R47-1))))</f>
        <v>0.47213599930551325</v>
      </c>
      <c r="R37" s="44"/>
      <c r="S37" s="39"/>
      <c r="T37" s="39"/>
      <c r="U37" s="39"/>
      <c r="V37" s="117">
        <v>-0.4</v>
      </c>
      <c r="W37" s="118">
        <f t="shared" ca="1" si="9"/>
        <v>20.663166350683575</v>
      </c>
      <c r="X37" s="119">
        <f t="shared" ca="1" si="10"/>
        <v>0.72416868072430607</v>
      </c>
      <c r="Y37" s="119">
        <f t="shared" ca="1" si="7"/>
        <v>0.2210307338302161</v>
      </c>
      <c r="Z37" s="119">
        <f t="shared" ca="1" si="7"/>
        <v>1.0587280292761183</v>
      </c>
      <c r="AA37" s="119">
        <f t="shared" ca="1" si="7"/>
        <v>0.52835023442609519</v>
      </c>
      <c r="AB37" s="119">
        <f t="shared" ca="1" si="7"/>
        <v>1.1338296414116087</v>
      </c>
      <c r="AC37" s="119">
        <f t="shared" ca="1" si="7"/>
        <v>1.0153461299443169</v>
      </c>
      <c r="AD37" s="39"/>
      <c r="AE37" s="39"/>
    </row>
    <row r="38" spans="2:31" x14ac:dyDescent="0.25">
      <c r="B38" s="77"/>
      <c r="C38" s="54" t="s">
        <v>66</v>
      </c>
      <c r="D38" s="54" t="s">
        <v>5</v>
      </c>
      <c r="E38" s="55" t="s">
        <v>5</v>
      </c>
      <c r="F38" s="55" t="s">
        <v>5</v>
      </c>
      <c r="G38" s="55">
        <f ca="1">G36-G37</f>
        <v>7.1666973617947374</v>
      </c>
      <c r="H38" s="58">
        <f ca="1">H36-H37</f>
        <v>45</v>
      </c>
      <c r="I38" s="55">
        <f ca="1">G38/H38</f>
        <v>0.15925994137321639</v>
      </c>
      <c r="J38" s="55" t="s">
        <v>5</v>
      </c>
      <c r="K38" s="54" t="s">
        <v>5</v>
      </c>
      <c r="L38" s="57">
        <f ca="1">G38/G36</f>
        <v>0.56554796921903971</v>
      </c>
      <c r="M38" s="54" t="s">
        <v>5</v>
      </c>
      <c r="N38" s="54" t="s">
        <v>5</v>
      </c>
      <c r="P38" s="41" t="s">
        <v>299</v>
      </c>
      <c r="R38" s="44"/>
      <c r="S38" s="39"/>
      <c r="T38" s="39"/>
      <c r="U38" s="39"/>
      <c r="V38" s="117">
        <v>-0.3</v>
      </c>
      <c r="W38" s="118">
        <f t="shared" ca="1" si="9"/>
        <v>20.714020543926917</v>
      </c>
      <c r="X38" s="119">
        <f t="shared" ca="1" si="10"/>
        <v>0.74996335825351168</v>
      </c>
      <c r="Y38" s="119">
        <f t="shared" ca="1" si="7"/>
        <v>0.27334085889343285</v>
      </c>
      <c r="Z38" s="119">
        <f t="shared" ca="1" si="7"/>
        <v>0.94662570117168787</v>
      </c>
      <c r="AA38" s="119">
        <f t="shared" ca="1" si="7"/>
        <v>0.55843845343947829</v>
      </c>
      <c r="AB38" s="119">
        <f t="shared" ca="1" si="7"/>
        <v>1.0529717514482877</v>
      </c>
      <c r="AC38" s="119">
        <f t="shared" ca="1" si="7"/>
        <v>1.1602745406998836</v>
      </c>
      <c r="AD38" s="39"/>
      <c r="AE38" s="39"/>
    </row>
    <row r="39" spans="2:31" x14ac:dyDescent="0.25">
      <c r="B39" s="77"/>
      <c r="C39" s="59" t="str">
        <f>D5</f>
        <v>opérateur</v>
      </c>
      <c r="D39" s="59">
        <f ca="1">COUNT(H5:L5)</f>
        <v>5</v>
      </c>
      <c r="E39" s="60">
        <f ca="1">SUM(H5:H14)^2+SUM(I5:I14)^2+SUM(J5:J14)^2+SUM(K5:K14)^2+SUM(L5:L14)^2</f>
        <v>217762.1999541758</v>
      </c>
      <c r="F39" s="61">
        <f ca="1">E39*D39/$D$36</f>
        <v>21776.219995417581</v>
      </c>
      <c r="G39" s="61">
        <f ca="1">F39-$F$36</f>
        <v>5.5054325933197106</v>
      </c>
      <c r="H39" s="59">
        <f ca="1">D39-1</f>
        <v>4</v>
      </c>
      <c r="I39" s="61">
        <f ca="1">G39/H39</f>
        <v>1.3763581483299276</v>
      </c>
      <c r="J39" s="61">
        <f ca="1">I39/I$38</f>
        <v>8.6422118234020484</v>
      </c>
      <c r="K39" s="61">
        <f ca="1">FINV(0.05,H39,H$38)</f>
        <v>2.5787391843115586</v>
      </c>
      <c r="L39" s="62">
        <f ca="1">G39/$G$36</f>
        <v>0.43445203078096023</v>
      </c>
      <c r="M39" s="62">
        <f ca="1">1-FDIST(K39/J39,H39,H$38)</f>
        <v>0.12253354692452967</v>
      </c>
      <c r="N39" s="62">
        <f ca="1">1-M39</f>
        <v>0.87746645307547033</v>
      </c>
      <c r="P39" s="41" t="s">
        <v>300</v>
      </c>
      <c r="R39" s="44"/>
      <c r="S39" s="39"/>
      <c r="T39" s="39"/>
      <c r="U39" s="39"/>
      <c r="V39" s="117">
        <v>-0.2</v>
      </c>
      <c r="W39" s="118">
        <f t="shared" ca="1" si="9"/>
        <v>20.764874737170263</v>
      </c>
      <c r="X39" s="119">
        <f t="shared" ca="1" si="10"/>
        <v>0.76894877105660508</v>
      </c>
      <c r="Y39" s="119">
        <f t="shared" ca="1" si="7"/>
        <v>0.33261902837022561</v>
      </c>
      <c r="Z39" s="119">
        <f t="shared" ca="1" si="7"/>
        <v>0.82437086981421637</v>
      </c>
      <c r="AA39" s="119">
        <f t="shared" ca="1" si="7"/>
        <v>0.58594223883399887</v>
      </c>
      <c r="AB39" s="119">
        <f t="shared" ca="1" si="7"/>
        <v>0.95428732476777045</v>
      </c>
      <c r="AC39" s="119">
        <f t="shared" ca="1" si="7"/>
        <v>1.2827621257985662</v>
      </c>
      <c r="AD39" s="39"/>
      <c r="AE39" s="39"/>
    </row>
    <row r="40" spans="2:31" x14ac:dyDescent="0.25">
      <c r="B40" s="77"/>
      <c r="J40" s="41" t="s">
        <v>301</v>
      </c>
      <c r="R40" s="44"/>
      <c r="S40" s="39"/>
      <c r="T40" s="39"/>
      <c r="U40" s="39"/>
      <c r="V40" s="117">
        <v>-0.1</v>
      </c>
      <c r="W40" s="118">
        <f t="shared" ca="1" si="9"/>
        <v>20.815728930413609</v>
      </c>
      <c r="X40" s="119">
        <f t="shared" ca="1" si="10"/>
        <v>0.7805699435197615</v>
      </c>
      <c r="Y40" s="119">
        <f t="shared" ca="1" si="7"/>
        <v>0.3982724568398387</v>
      </c>
      <c r="Z40" s="119">
        <f t="shared" ca="1" si="7"/>
        <v>0.69922580483790431</v>
      </c>
      <c r="AA40" s="119">
        <f t="shared" ca="1" si="7"/>
        <v>0.61032389829013245</v>
      </c>
      <c r="AB40" s="119">
        <f t="shared" ca="1" si="7"/>
        <v>0.84398574544209615</v>
      </c>
      <c r="AC40" s="119">
        <f t="shared" ca="1" si="7"/>
        <v>1.372050875638533</v>
      </c>
      <c r="AD40" s="39"/>
      <c r="AE40" s="39"/>
    </row>
    <row r="41" spans="2:31" x14ac:dyDescent="0.25">
      <c r="B41" s="77"/>
      <c r="C41" s="138" t="s">
        <v>51</v>
      </c>
      <c r="D41" s="63">
        <f ca="1">L37</f>
        <v>0.43445203078096023</v>
      </c>
      <c r="E41" s="41" t="s">
        <v>302</v>
      </c>
      <c r="R41" s="44"/>
      <c r="S41" s="39"/>
      <c r="T41" s="39"/>
      <c r="U41" s="39"/>
      <c r="V41" s="117">
        <v>0</v>
      </c>
      <c r="W41" s="118">
        <f t="shared" ca="1" si="9"/>
        <v>20.866583123656955</v>
      </c>
      <c r="X41" s="119">
        <f t="shared" ca="1" si="10"/>
        <v>0.78448256664387583</v>
      </c>
      <c r="Y41" s="119">
        <f t="shared" ca="1" si="7"/>
        <v>0.46924980666571897</v>
      </c>
      <c r="Z41" s="119">
        <f t="shared" ca="1" si="7"/>
        <v>0.57764726700422753</v>
      </c>
      <c r="AA41" s="119">
        <f t="shared" ca="1" si="7"/>
        <v>0.63109105530586973</v>
      </c>
      <c r="AB41" s="119">
        <f t="shared" ca="1" si="7"/>
        <v>0.72842457471594313</v>
      </c>
      <c r="AC41" s="119">
        <f t="shared" ca="1" si="7"/>
        <v>1.4198191279115291</v>
      </c>
      <c r="AD41" s="39"/>
      <c r="AE41" s="39"/>
    </row>
    <row r="42" spans="2:31" x14ac:dyDescent="0.25">
      <c r="B42" s="77"/>
      <c r="K42" s="270" t="s">
        <v>113</v>
      </c>
      <c r="L42" s="270"/>
      <c r="M42" s="138" t="s">
        <v>303</v>
      </c>
      <c r="O42" s="270" t="s">
        <v>114</v>
      </c>
      <c r="P42" s="270"/>
      <c r="Q42" s="270"/>
      <c r="R42" s="44"/>
      <c r="S42" s="39"/>
      <c r="T42" s="39"/>
      <c r="U42" s="39"/>
      <c r="V42" s="117">
        <v>0.1</v>
      </c>
      <c r="W42" s="118">
        <f t="shared" ca="1" si="9"/>
        <v>20.917437316900301</v>
      </c>
      <c r="X42" s="119">
        <f t="shared" ca="1" si="10"/>
        <v>0.7805699435197615</v>
      </c>
      <c r="Y42" s="119">
        <f t="shared" ca="1" si="7"/>
        <v>0.54402465007807765</v>
      </c>
      <c r="Z42" s="119">
        <f t="shared" ca="1" si="7"/>
        <v>0.46479180621552652</v>
      </c>
      <c r="AA42" s="119">
        <f t="shared" ca="1" si="7"/>
        <v>0.64781314024826142</v>
      </c>
      <c r="AB42" s="119">
        <f t="shared" ca="1" si="7"/>
        <v>0.61351839369812933</v>
      </c>
      <c r="AC42" s="119">
        <f t="shared" ca="1" si="7"/>
        <v>1.4214596983050665</v>
      </c>
      <c r="AD42" s="39"/>
      <c r="AE42" s="39"/>
    </row>
    <row r="43" spans="2:31" x14ac:dyDescent="0.25">
      <c r="B43" s="77"/>
      <c r="C43" s="138" t="s">
        <v>54</v>
      </c>
      <c r="D43" s="63">
        <f ca="1">(I36-I38)/I36</f>
        <v>0.38418110018371227</v>
      </c>
      <c r="E43" s="41" t="s">
        <v>56</v>
      </c>
      <c r="K43" s="138" t="s">
        <v>304</v>
      </c>
      <c r="L43" s="93">
        <f ca="1">SQRT(I38)/Q8</f>
        <v>1.9125021675556561E-2</v>
      </c>
      <c r="M43" s="93">
        <f ca="1">SQRT(_xlfn.CHISQ.INV(0.95,H38)/H38)*L43</f>
        <v>2.2386395598229157E-2</v>
      </c>
      <c r="O43" s="261" t="s">
        <v>305</v>
      </c>
      <c r="P43" s="280">
        <f ca="1">Q8-Q4</f>
        <v>0.86658312365695522</v>
      </c>
      <c r="Q43" s="281"/>
      <c r="R43" s="44"/>
      <c r="S43" s="39"/>
      <c r="T43" s="39"/>
      <c r="U43" s="39"/>
      <c r="V43" s="117">
        <v>0.2</v>
      </c>
      <c r="W43" s="118">
        <f t="shared" ca="1" si="9"/>
        <v>20.968291510143647</v>
      </c>
      <c r="X43" s="119">
        <f t="shared" ca="1" si="10"/>
        <v>0.76894877105660508</v>
      </c>
      <c r="Y43" s="119">
        <f t="shared" ca="1" si="7"/>
        <v>0.62061704751211344</v>
      </c>
      <c r="Z43" s="119">
        <f t="shared" ca="1" si="7"/>
        <v>0.36425428434566171</v>
      </c>
      <c r="AA43" s="119">
        <f t="shared" ca="1" si="7"/>
        <v>0.66013621756923102</v>
      </c>
      <c r="AB43" s="119">
        <f t="shared" ca="1" si="7"/>
        <v>0.50427113280204794</v>
      </c>
      <c r="AC43" s="119">
        <f t="shared" ca="1" si="7"/>
        <v>1.3768124989793422</v>
      </c>
      <c r="AD43" s="39"/>
      <c r="AE43" s="39"/>
    </row>
    <row r="44" spans="2:31" x14ac:dyDescent="0.25">
      <c r="B44" s="77"/>
      <c r="C44" s="110"/>
      <c r="K44" s="138" t="s">
        <v>306</v>
      </c>
      <c r="L44" s="93">
        <f ca="1">IF(I36&lt;I38,L43,SQRT(I36)/Q8)</f>
        <v>2.4371116699835146E-2</v>
      </c>
      <c r="M44" s="93">
        <f ca="1">SQRT(_xlfn.CHISQ.INV(0.95,H36)/H36)*L44</f>
        <v>2.8357027228728734E-2</v>
      </c>
      <c r="O44" s="138" t="s">
        <v>307</v>
      </c>
      <c r="P44" s="91">
        <f ca="1">P43-TINV(0.05,H36)*Q10/SQRT(D36)</f>
        <v>0.7220571055716456</v>
      </c>
      <c r="Q44" s="91">
        <f ca="1">P43+TINV(0.05,H36)*Q10/SQRT(D36)</f>
        <v>1.0111091417422648</v>
      </c>
      <c r="R44" s="44"/>
      <c r="S44" s="39"/>
      <c r="T44" s="39"/>
      <c r="U44" s="39"/>
      <c r="V44" s="117">
        <v>0.3</v>
      </c>
      <c r="W44" s="118">
        <f t="shared" ca="1" si="9"/>
        <v>21.019145703386993</v>
      </c>
      <c r="X44" s="119">
        <f t="shared" ca="1" si="10"/>
        <v>0.74996335825351168</v>
      </c>
      <c r="Y44" s="119">
        <f t="shared" ca="1" si="7"/>
        <v>0.69665774581872031</v>
      </c>
      <c r="Z44" s="119">
        <f t="shared" ca="1" si="7"/>
        <v>0.27803619657895279</v>
      </c>
      <c r="AA44" s="119">
        <f t="shared" ca="1" si="7"/>
        <v>0.66779543686125209</v>
      </c>
      <c r="AB44" s="119">
        <f t="shared" ca="1" si="7"/>
        <v>0.40447729559892731</v>
      </c>
      <c r="AC44" s="119">
        <f t="shared" ca="1" si="7"/>
        <v>1.2901902920583368</v>
      </c>
      <c r="AD44" s="39"/>
      <c r="AE44" s="39"/>
    </row>
    <row r="45" spans="2:31" x14ac:dyDescent="0.25">
      <c r="B45" s="77"/>
      <c r="C45" s="138" t="s">
        <v>308</v>
      </c>
      <c r="D45" s="262">
        <f ca="1">TRUNC(SQRT(I36/I38)*SQRT(2),0)</f>
        <v>1</v>
      </c>
      <c r="E45" s="41" t="s">
        <v>309</v>
      </c>
      <c r="O45" s="41" t="s">
        <v>310</v>
      </c>
      <c r="R45" s="44"/>
      <c r="S45" s="39"/>
      <c r="T45" s="39"/>
      <c r="U45" s="39"/>
      <c r="V45" s="117">
        <v>0.4</v>
      </c>
      <c r="W45" s="118">
        <f t="shared" ca="1" si="9"/>
        <v>21.069999896630335</v>
      </c>
      <c r="X45" s="119">
        <f t="shared" ca="1" si="10"/>
        <v>0.72416868072430607</v>
      </c>
      <c r="Y45" s="119">
        <f t="shared" ca="1" si="7"/>
        <v>0.76949514875068514</v>
      </c>
      <c r="Z45" s="119">
        <f t="shared" ca="1" si="7"/>
        <v>0.20670380640623776</v>
      </c>
      <c r="AA45" s="119">
        <f t="shared" ca="1" si="7"/>
        <v>0.67062449623142395</v>
      </c>
      <c r="AB45" s="119">
        <f t="shared" ca="1" si="7"/>
        <v>0.31660495735362487</v>
      </c>
      <c r="AC45" s="119">
        <f t="shared" ca="1" si="7"/>
        <v>1.1696918404244476</v>
      </c>
      <c r="AD45" s="39"/>
      <c r="AE45" s="39"/>
    </row>
    <row r="46" spans="2:31" x14ac:dyDescent="0.25">
      <c r="B46" s="77"/>
      <c r="Q46" s="263" t="s">
        <v>311</v>
      </c>
      <c r="R46" s="264">
        <f ca="1">COUNT(H5:L5)</f>
        <v>5</v>
      </c>
      <c r="S46" s="39"/>
      <c r="T46" s="39"/>
      <c r="U46" s="39"/>
      <c r="V46" s="117">
        <v>0.5</v>
      </c>
      <c r="W46" s="118">
        <f t="shared" ca="1" si="9"/>
        <v>21.120854089873681</v>
      </c>
      <c r="X46" s="119">
        <f t="shared" ca="1" si="10"/>
        <v>0.69230343519483462</v>
      </c>
      <c r="Y46" s="119">
        <f t="shared" ca="1" si="7"/>
        <v>0.83634015480994217</v>
      </c>
      <c r="Z46" s="119">
        <f t="shared" ca="1" si="7"/>
        <v>0.14967389974548947</v>
      </c>
      <c r="AA46" s="119">
        <f t="shared" ca="1" si="7"/>
        <v>0.66856164578361132</v>
      </c>
      <c r="AB46" s="119">
        <f t="shared" ca="1" si="7"/>
        <v>0.24184370864256344</v>
      </c>
      <c r="AC46" s="119">
        <f t="shared" ca="1" si="7"/>
        <v>1.0259539591287543</v>
      </c>
      <c r="AD46" s="39"/>
      <c r="AE46" s="39"/>
    </row>
    <row r="47" spans="2:31" ht="15.75" thickBot="1" x14ac:dyDescent="0.3">
      <c r="B47" s="83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265" t="s">
        <v>286</v>
      </c>
      <c r="R47" s="266">
        <f ca="1">COUNT(H5:H14)</f>
        <v>10</v>
      </c>
      <c r="S47" s="39"/>
      <c r="T47" s="39"/>
      <c r="U47" s="39"/>
      <c r="V47" s="117">
        <v>0.6</v>
      </c>
      <c r="W47" s="118">
        <f t="shared" ca="1" si="9"/>
        <v>21.171708283117027</v>
      </c>
      <c r="X47" s="119">
        <f t="shared" ca="1" si="10"/>
        <v>0.65525491928908786</v>
      </c>
      <c r="Y47" s="119">
        <f t="shared" ca="1" si="7"/>
        <v>0.89443885756931496</v>
      </c>
      <c r="Z47" s="119">
        <f t="shared" ca="1" si="7"/>
        <v>0.10555872586206209</v>
      </c>
      <c r="AA47" s="119">
        <f t="shared" ca="1" si="7"/>
        <v>0.66165192852886556</v>
      </c>
      <c r="AB47" s="119">
        <f t="shared" ca="1" si="7"/>
        <v>0.18027910719721349</v>
      </c>
      <c r="AC47" s="119">
        <f t="shared" ca="1" si="7"/>
        <v>0.87060870237009091</v>
      </c>
      <c r="AD47" s="39"/>
      <c r="AE47" s="39"/>
    </row>
    <row r="48" spans="2:31" x14ac:dyDescent="0.25">
      <c r="B48" s="41" t="s">
        <v>79</v>
      </c>
      <c r="R48" s="110" t="s">
        <v>60</v>
      </c>
      <c r="S48" s="39"/>
      <c r="T48" s="39"/>
      <c r="U48" s="39"/>
      <c r="V48" s="117">
        <v>0.7</v>
      </c>
      <c r="W48" s="118">
        <f t="shared" ca="1" si="9"/>
        <v>21.222562476360373</v>
      </c>
      <c r="X48" s="119">
        <f t="shared" ca="1" si="10"/>
        <v>0.61401806508379042</v>
      </c>
      <c r="Y48" s="119">
        <f t="shared" ca="1" si="7"/>
        <v>0.94125872362912766</v>
      </c>
      <c r="Z48" s="119">
        <f t="shared" ca="1" si="7"/>
        <v>7.2509125871661181E-2</v>
      </c>
      <c r="AA48" s="119">
        <f t="shared" ca="1" si="7"/>
        <v>0.65004554514784085</v>
      </c>
      <c r="AB48" s="119">
        <f t="shared" ca="1" si="7"/>
        <v>0.13114433171697312</v>
      </c>
      <c r="AC48" s="119">
        <f t="shared" ca="1" si="7"/>
        <v>0.71475443189293764</v>
      </c>
      <c r="AD48" s="39"/>
      <c r="AE48" s="39"/>
    </row>
    <row r="49" spans="18:31" x14ac:dyDescent="0.25">
      <c r="R49" s="64">
        <v>42795</v>
      </c>
      <c r="S49" s="39"/>
      <c r="T49" s="39"/>
      <c r="U49" s="39"/>
      <c r="V49" s="117">
        <v>0.8</v>
      </c>
      <c r="W49" s="118">
        <f t="shared" ca="1" si="9"/>
        <v>21.273416669603719</v>
      </c>
      <c r="X49" s="119">
        <f t="shared" ca="1" si="10"/>
        <v>0.56965126036954739</v>
      </c>
      <c r="Y49" s="119">
        <f t="shared" ca="1" si="7"/>
        <v>0.97467093854078968</v>
      </c>
      <c r="Z49" s="119">
        <f t="shared" ca="1" si="7"/>
        <v>4.8511160557086139E-2</v>
      </c>
      <c r="AA49" s="119">
        <f t="shared" ca="1" si="7"/>
        <v>0.63399242551558244</v>
      </c>
      <c r="AB49" s="119">
        <f t="shared" ca="1" si="7"/>
        <v>9.3099462002479871E-2</v>
      </c>
      <c r="AC49" s="119">
        <f t="shared" ca="1" si="7"/>
        <v>0.56771377320260175</v>
      </c>
      <c r="AD49" s="39"/>
      <c r="AE49" s="39"/>
    </row>
    <row r="50" spans="18:31" x14ac:dyDescent="0.25">
      <c r="S50" s="39"/>
      <c r="T50" s="39"/>
      <c r="U50" s="39"/>
      <c r="V50" s="117">
        <v>0.9</v>
      </c>
      <c r="W50" s="118">
        <f t="shared" ca="1" si="9"/>
        <v>21.324270862847065</v>
      </c>
      <c r="X50" s="119">
        <f t="shared" ca="1" si="10"/>
        <v>0.52323168047420188</v>
      </c>
      <c r="Y50" s="119">
        <f t="shared" ca="1" si="7"/>
        <v>0.99311071227185321</v>
      </c>
      <c r="Z50" s="119">
        <f t="shared" ca="1" si="7"/>
        <v>3.1611210342258542E-2</v>
      </c>
      <c r="AA50" s="119">
        <f t="shared" ca="1" si="7"/>
        <v>0.61383328099399348</v>
      </c>
      <c r="AB50" s="119">
        <f t="shared" ca="1" si="7"/>
        <v>6.4496825503210217E-2</v>
      </c>
      <c r="AC50" s="119">
        <f t="shared" ca="1" si="7"/>
        <v>0.43625530912995369</v>
      </c>
      <c r="AD50" s="39"/>
      <c r="AE50" s="39"/>
    </row>
    <row r="51" spans="18:31" x14ac:dyDescent="0.25">
      <c r="S51" s="39"/>
      <c r="T51" s="39"/>
      <c r="U51" s="39"/>
      <c r="V51" s="117">
        <v>1</v>
      </c>
      <c r="W51" s="118">
        <f t="shared" ca="1" si="9"/>
        <v>21.375125056090411</v>
      </c>
      <c r="X51" s="119">
        <f t="shared" ca="1" si="10"/>
        <v>0.47581272867956842</v>
      </c>
      <c r="Y51" s="119">
        <f t="shared" ca="1" si="7"/>
        <v>0.99569875155570831</v>
      </c>
      <c r="Z51" s="119">
        <f t="shared" ca="1" si="7"/>
        <v>2.006277716601507E-2</v>
      </c>
      <c r="AA51" s="119">
        <f t="shared" ca="1" si="7"/>
        <v>0.58998758485304115</v>
      </c>
      <c r="AB51" s="119">
        <f t="shared" ca="1" si="7"/>
        <v>4.3603668451353661E-2</v>
      </c>
      <c r="AC51" s="119">
        <f t="shared" ca="1" si="7"/>
        <v>0.32433270234703215</v>
      </c>
      <c r="AD51" s="39"/>
      <c r="AE51" s="39"/>
    </row>
    <row r="52" spans="18:31" x14ac:dyDescent="0.25">
      <c r="S52" s="39"/>
      <c r="T52" s="39"/>
      <c r="U52" s="39"/>
      <c r="V52" s="117">
        <v>1.1000000000000001</v>
      </c>
      <c r="W52" s="118">
        <f t="shared" ca="1" si="9"/>
        <v>21.425979249333754</v>
      </c>
      <c r="X52" s="119">
        <f t="shared" ca="1" si="10"/>
        <v>0.42838586778890331</v>
      </c>
      <c r="Y52" s="119">
        <f t="shared" ca="1" si="7"/>
        <v>0.98231076944384643</v>
      </c>
      <c r="Z52" s="119">
        <f t="shared" ca="1" si="7"/>
        <v>1.2401991788011907E-2</v>
      </c>
      <c r="AA52" s="119">
        <f t="shared" ca="1" si="7"/>
        <v>0.56293907285119882</v>
      </c>
      <c r="AB52" s="119">
        <f t="shared" ca="1" si="7"/>
        <v>2.8767441541937902E-2</v>
      </c>
      <c r="AC52" s="119">
        <f t="shared" ca="1" si="7"/>
        <v>0.2332810582666863</v>
      </c>
      <c r="AD52" s="39"/>
      <c r="AE52" s="39"/>
    </row>
    <row r="53" spans="18:31" x14ac:dyDescent="0.25">
      <c r="S53" s="39"/>
      <c r="T53" s="39"/>
      <c r="U53" s="39"/>
      <c r="V53" s="117">
        <v>1.2</v>
      </c>
      <c r="W53" s="118">
        <f t="shared" ca="1" si="9"/>
        <v>21.476833442577099</v>
      </c>
      <c r="X53" s="119">
        <f t="shared" ca="1" si="10"/>
        <v>0.38184865907517612</v>
      </c>
      <c r="Y53" s="119">
        <f t="shared" ca="1" si="7"/>
        <v>0.95358738006785015</v>
      </c>
      <c r="Z53" s="119">
        <f t="shared" ca="1" si="7"/>
        <v>7.4669336847896402E-3</v>
      </c>
      <c r="AA53" s="119">
        <f t="shared" ca="1" si="7"/>
        <v>0.53321946328423375</v>
      </c>
      <c r="AB53" s="119">
        <f t="shared" ca="1" si="7"/>
        <v>1.8521364167196002E-2</v>
      </c>
      <c r="AC53" s="119">
        <f t="shared" ca="1" si="7"/>
        <v>0.16233304449280314</v>
      </c>
      <c r="AD53" s="39"/>
      <c r="AE53" s="39"/>
    </row>
    <row r="54" spans="18:31" x14ac:dyDescent="0.25">
      <c r="S54" s="39"/>
      <c r="T54" s="39"/>
      <c r="U54" s="39"/>
      <c r="V54" s="117">
        <v>1.3</v>
      </c>
      <c r="W54" s="118">
        <f t="shared" ca="1" si="9"/>
        <v>21.527687635820445</v>
      </c>
      <c r="X54" s="119">
        <f t="shared" ca="1" si="10"/>
        <v>0.33698025888992372</v>
      </c>
      <c r="Y54" s="119">
        <f t="shared" ca="1" si="7"/>
        <v>0.91088328163514698</v>
      </c>
      <c r="Z54" s="119">
        <f t="shared" ca="1" si="7"/>
        <v>4.3786840993885563E-3</v>
      </c>
      <c r="AA54" s="119">
        <f t="shared" ca="1" si="7"/>
        <v>0.50139115987326699</v>
      </c>
      <c r="AB54" s="119">
        <f t="shared" ca="1" si="7"/>
        <v>1.1636924691705054E-2</v>
      </c>
      <c r="AC54" s="119">
        <f t="shared" ca="1" si="7"/>
        <v>0.10928815933551052</v>
      </c>
      <c r="AD54" s="39"/>
      <c r="AE54" s="39"/>
    </row>
    <row r="55" spans="18:31" x14ac:dyDescent="0.25">
      <c r="S55" s="39"/>
      <c r="T55" s="39"/>
      <c r="U55" s="39"/>
      <c r="V55" s="117">
        <v>1.4</v>
      </c>
      <c r="W55" s="118">
        <f t="shared" ca="1" si="9"/>
        <v>21.578541829063791</v>
      </c>
      <c r="X55" s="119">
        <f t="shared" ca="1" si="10"/>
        <v>0.29442501411687921</v>
      </c>
      <c r="Y55" s="119">
        <f t="shared" ca="1" si="7"/>
        <v>0.856161341233169</v>
      </c>
      <c r="Z55" s="119">
        <f t="shared" ca="1" si="7"/>
        <v>2.5008946578788946E-3</v>
      </c>
      <c r="AA55" s="119">
        <f t="shared" ca="1" si="7"/>
        <v>0.4680297191348155</v>
      </c>
      <c r="AB55" s="119">
        <f t="shared" ca="1" si="7"/>
        <v>7.1350496221783168E-3</v>
      </c>
      <c r="AC55" s="119">
        <f t="shared" ca="1" si="7"/>
        <v>7.1183282359658401E-2</v>
      </c>
      <c r="AD55" s="39"/>
      <c r="AE55" s="39"/>
    </row>
    <row r="56" spans="18:31" x14ac:dyDescent="0.25">
      <c r="S56" s="39"/>
      <c r="T56" s="39"/>
      <c r="U56" s="39"/>
      <c r="V56" s="117">
        <v>1.5</v>
      </c>
      <c r="W56" s="118">
        <f t="shared" ca="1" si="9"/>
        <v>21.629396022307137</v>
      </c>
      <c r="X56" s="119">
        <f t="shared" ca="1" si="10"/>
        <v>0.25468420086054483</v>
      </c>
      <c r="Y56" s="119">
        <f t="shared" ca="1" si="7"/>
        <v>0.7918431124968609</v>
      </c>
      <c r="Z56" s="119">
        <f t="shared" ca="1" si="7"/>
        <v>1.3912258820097032E-3</v>
      </c>
      <c r="AA56" s="119">
        <f t="shared" ca="1" si="7"/>
        <v>0.43370683712366592</v>
      </c>
      <c r="AB56" s="119">
        <f t="shared" ca="1" si="7"/>
        <v>4.2692274493622345E-3</v>
      </c>
      <c r="AC56" s="119">
        <f t="shared" ca="1" si="7"/>
        <v>4.4856112198309518E-2</v>
      </c>
      <c r="AD56" s="39"/>
      <c r="AE56" s="39"/>
    </row>
    <row r="57" spans="18:31" x14ac:dyDescent="0.25">
      <c r="S57" s="39"/>
      <c r="T57" s="39"/>
      <c r="U57" s="39"/>
      <c r="V57" s="117">
        <v>1.6</v>
      </c>
      <c r="W57" s="118">
        <f t="shared" ca="1" si="9"/>
        <v>21.680250215550483</v>
      </c>
      <c r="X57" s="119">
        <f t="shared" ca="1" si="10"/>
        <v>0.21811541508225532</v>
      </c>
      <c r="Y57" s="119">
        <f t="shared" ca="1" si="7"/>
        <v>0.72063162921965884</v>
      </c>
      <c r="Z57" s="119">
        <f t="shared" ca="1" si="7"/>
        <v>7.5378998535762952E-4</v>
      </c>
      <c r="AA57" s="119">
        <f t="shared" ca="1" si="7"/>
        <v>0.39897454256905718</v>
      </c>
      <c r="AB57" s="119">
        <f t="shared" ca="1" si="7"/>
        <v>2.4928440455966499E-3</v>
      </c>
      <c r="AC57" s="119">
        <f t="shared" ca="1" si="7"/>
        <v>2.734663975090941E-2</v>
      </c>
      <c r="AD57" s="39"/>
      <c r="AE57" s="39"/>
    </row>
    <row r="58" spans="18:31" x14ac:dyDescent="0.25">
      <c r="S58" s="39"/>
      <c r="T58" s="39"/>
      <c r="U58" s="39"/>
      <c r="V58" s="117">
        <v>1.7</v>
      </c>
      <c r="W58" s="118">
        <f t="shared" ca="1" si="9"/>
        <v>21.731104408793826</v>
      </c>
      <c r="X58" s="119">
        <f t="shared" ca="1" si="10"/>
        <v>0.18493868721276863</v>
      </c>
      <c r="Y58" s="119">
        <f t="shared" ca="1" si="7"/>
        <v>0.64532448391624797</v>
      </c>
      <c r="Z58" s="119">
        <f t="shared" ca="1" si="7"/>
        <v>3.9778970837285908E-4</v>
      </c>
      <c r="AA58" s="119">
        <f t="shared" ca="1" si="7"/>
        <v>0.36435118102478098</v>
      </c>
      <c r="AB58" s="119">
        <f t="shared" ca="1" si="7"/>
        <v>1.4204777883102021E-3</v>
      </c>
      <c r="AC58" s="119">
        <f t="shared" ca="1" si="7"/>
        <v>1.6129653223504844E-2</v>
      </c>
      <c r="AD58" s="39"/>
      <c r="AE58" s="39"/>
    </row>
    <row r="59" spans="18:31" x14ac:dyDescent="0.25">
      <c r="S59" s="39"/>
      <c r="T59" s="39"/>
      <c r="U59" s="39"/>
      <c r="V59" s="117">
        <v>1.8</v>
      </c>
      <c r="W59" s="118">
        <f t="shared" ca="1" si="9"/>
        <v>21.781958602037172</v>
      </c>
      <c r="X59" s="119">
        <f t="shared" ca="1" si="10"/>
        <v>0.15524807939259877</v>
      </c>
      <c r="Y59" s="119">
        <f t="shared" ca="1" si="7"/>
        <v>0.56863503273111293</v>
      </c>
      <c r="Z59" s="119">
        <f t="shared" ca="1" si="7"/>
        <v>2.0445944963476729E-4</v>
      </c>
      <c r="AA59" s="119">
        <f t="shared" ca="1" si="7"/>
        <v>0.33030964633908005</v>
      </c>
      <c r="AB59" s="119">
        <f t="shared" ca="1" si="7"/>
        <v>7.8989125543310092E-4</v>
      </c>
      <c r="AC59" s="119">
        <f t="shared" ca="1" si="7"/>
        <v>9.2041738304663515E-3</v>
      </c>
      <c r="AD59" s="39"/>
      <c r="AE59" s="39"/>
    </row>
    <row r="60" spans="18:31" x14ac:dyDescent="0.25">
      <c r="S60" s="39"/>
      <c r="T60" s="39"/>
      <c r="U60" s="39"/>
      <c r="V60" s="117">
        <v>1.9</v>
      </c>
      <c r="W60" s="118">
        <f t="shared" ca="1" si="9"/>
        <v>21.832812795280518</v>
      </c>
      <c r="X60" s="119">
        <f t="shared" ca="1" si="10"/>
        <v>0.12902734384300354</v>
      </c>
      <c r="Y60" s="119">
        <f t="shared" ca="1" si="7"/>
        <v>0.49303724584890168</v>
      </c>
      <c r="Z60" s="119">
        <f t="shared" ca="1" si="7"/>
        <v>1.0235552658847003E-4</v>
      </c>
      <c r="AA60" s="119">
        <f t="shared" ca="1" si="7"/>
        <v>0.29726817137300443</v>
      </c>
      <c r="AB60" s="119">
        <f t="shared" ca="1" si="7"/>
        <v>4.286409767983013E-4</v>
      </c>
      <c r="AC60" s="119">
        <f t="shared" ca="1" si="7"/>
        <v>5.0813991979382009E-3</v>
      </c>
      <c r="AD60" s="39"/>
      <c r="AE60" s="39"/>
    </row>
    <row r="61" spans="18:31" x14ac:dyDescent="0.25">
      <c r="S61" s="39"/>
      <c r="T61" s="39"/>
      <c r="U61" s="39"/>
      <c r="V61" s="117">
        <v>2</v>
      </c>
      <c r="W61" s="118">
        <f t="shared" ca="1" si="9"/>
        <v>21.883666988523863</v>
      </c>
      <c r="X61" s="119">
        <f t="shared" ca="1" si="10"/>
        <v>0.10616817035093394</v>
      </c>
      <c r="Y61" s="119">
        <f t="shared" ca="1" si="7"/>
        <v>0.4206457367907801</v>
      </c>
      <c r="Z61" s="119">
        <f t="shared" ca="1" si="7"/>
        <v>4.9907506433018875E-5</v>
      </c>
      <c r="AA61" s="119">
        <f t="shared" ca="1" si="7"/>
        <v>0.26558383970619781</v>
      </c>
      <c r="AB61" s="119">
        <f t="shared" ca="1" si="7"/>
        <v>2.2699358668898899E-4</v>
      </c>
      <c r="AC61" s="119">
        <f t="shared" ca="1" si="7"/>
        <v>2.7140668342543143E-3</v>
      </c>
      <c r="AD61" s="39"/>
      <c r="AE61" s="39"/>
    </row>
    <row r="62" spans="18:31" x14ac:dyDescent="0.25">
      <c r="S62" s="39"/>
      <c r="T62" s="39"/>
      <c r="U62" s="39"/>
      <c r="V62" s="117">
        <v>2.1</v>
      </c>
      <c r="W62" s="118">
        <f t="shared" ca="1" si="9"/>
        <v>21.934521181767209</v>
      </c>
      <c r="X62" s="119">
        <f t="shared" ca="1" si="10"/>
        <v>8.6489615064698072E-2</v>
      </c>
      <c r="Y62" s="119">
        <f t="shared" ca="1" si="7"/>
        <v>0.35313755146504455</v>
      </c>
      <c r="Z62" s="119">
        <f t="shared" ca="1" si="7"/>
        <v>2.3701231423754338E-5</v>
      </c>
      <c r="AA62" s="119">
        <f t="shared" ca="1" si="7"/>
        <v>0.23554883390382642</v>
      </c>
      <c r="AB62" s="119">
        <f t="shared" ca="1" si="7"/>
        <v>1.1730783225738204E-4</v>
      </c>
      <c r="AC62" s="119">
        <f t="shared" ca="1" si="7"/>
        <v>1.4024793715310688E-3</v>
      </c>
      <c r="AD62" s="39"/>
      <c r="AE62" s="39"/>
    </row>
    <row r="63" spans="18:31" x14ac:dyDescent="0.25">
      <c r="S63" s="39"/>
      <c r="T63" s="39"/>
      <c r="U63" s="39"/>
      <c r="V63" s="117">
        <v>2.2000000000000002</v>
      </c>
      <c r="W63" s="118">
        <f t="shared" ca="1" si="9"/>
        <v>21.985375375010555</v>
      </c>
      <c r="X63" s="119">
        <f t="shared" ca="1" si="10"/>
        <v>6.9757458694664029E-2</v>
      </c>
      <c r="Y63" s="119">
        <f t="shared" ref="Y63:AC71" ca="1" si="11">NORMDIST($W63,Y$9,SQRT(Y$10),0)</f>
        <v>0.29171714722230146</v>
      </c>
      <c r="Z63" s="119">
        <f t="shared" ca="1" si="11"/>
        <v>1.096292429878673E-5</v>
      </c>
      <c r="AA63" s="119">
        <f t="shared" ca="1" si="11"/>
        <v>0.20738930248750684</v>
      </c>
      <c r="AB63" s="119">
        <f t="shared" ca="1" si="11"/>
        <v>5.9160788414536201E-5</v>
      </c>
      <c r="AC63" s="119">
        <f t="shared" ca="1" si="11"/>
        <v>7.011503368667026E-4</v>
      </c>
      <c r="AD63" s="39"/>
      <c r="AE63" s="39"/>
    </row>
    <row r="64" spans="18:31" x14ac:dyDescent="0.25">
      <c r="S64" s="39"/>
      <c r="T64" s="39"/>
      <c r="U64" s="39"/>
      <c r="V64" s="117">
        <v>2.2999999999999998</v>
      </c>
      <c r="W64" s="118">
        <f t="shared" ca="1" si="9"/>
        <v>22.036229568253901</v>
      </c>
      <c r="X64" s="119">
        <f t="shared" ca="1" si="10"/>
        <v>5.570246214712643E-2</v>
      </c>
      <c r="Y64" s="119">
        <f t="shared" ca="1" si="11"/>
        <v>0.23712135111711818</v>
      </c>
      <c r="Z64" s="119">
        <f t="shared" ca="1" si="11"/>
        <v>4.9389244691793363E-6</v>
      </c>
      <c r="AA64" s="119">
        <f t="shared" ca="1" si="11"/>
        <v>0.18126661408249067</v>
      </c>
      <c r="AB64" s="119">
        <f t="shared" ca="1" si="11"/>
        <v>2.9116181489048586E-5</v>
      </c>
      <c r="AC64" s="119">
        <f t="shared" ca="1" si="11"/>
        <v>3.391286903499634E-4</v>
      </c>
      <c r="AD64" s="39"/>
      <c r="AE64" s="39"/>
    </row>
    <row r="65" spans="19:31" x14ac:dyDescent="0.25">
      <c r="S65" s="39"/>
      <c r="T65" s="39"/>
      <c r="U65" s="39"/>
      <c r="V65" s="117">
        <v>2.4</v>
      </c>
      <c r="W65" s="118">
        <f t="shared" ca="1" si="9"/>
        <v>22.087083761497244</v>
      </c>
      <c r="X65" s="119">
        <f t="shared" ca="1" si="10"/>
        <v>4.4036742826066809E-2</v>
      </c>
      <c r="Y65" s="119">
        <f t="shared" ca="1" si="11"/>
        <v>0.18965749526035944</v>
      </c>
      <c r="Z65" s="119">
        <f t="shared" ca="1" si="11"/>
        <v>2.1671492347753727E-6</v>
      </c>
      <c r="AA65" s="119">
        <f t="shared" ca="1" si="11"/>
        <v>0.15728067827614173</v>
      </c>
      <c r="AB65" s="119">
        <f t="shared" ca="1" si="11"/>
        <v>1.3983903029749954E-5</v>
      </c>
      <c r="AC65" s="119">
        <f t="shared" ca="1" si="11"/>
        <v>1.5869258669671667E-4</v>
      </c>
      <c r="AD65" s="39"/>
      <c r="AE65" s="39"/>
    </row>
    <row r="66" spans="19:31" x14ac:dyDescent="0.25">
      <c r="S66" s="39"/>
      <c r="T66" s="39"/>
      <c r="U66" s="39"/>
      <c r="V66" s="117">
        <v>2.5000000000000102</v>
      </c>
      <c r="W66" s="118">
        <f t="shared" ca="1" si="9"/>
        <v>22.137937954740597</v>
      </c>
      <c r="X66" s="119">
        <f t="shared" ca="1" si="10"/>
        <v>3.4467758459351266E-2</v>
      </c>
      <c r="Y66" s="119">
        <f t="shared" ca="1" si="11"/>
        <v>0.14926569490303607</v>
      </c>
      <c r="Z66" s="119">
        <f t="shared" ca="1" si="11"/>
        <v>9.2618068139303486E-7</v>
      </c>
      <c r="AA66" s="119">
        <f t="shared" ca="1" si="11"/>
        <v>0.13547495127674797</v>
      </c>
      <c r="AB66" s="119">
        <f t="shared" ca="1" si="11"/>
        <v>6.5541429718826598E-6</v>
      </c>
      <c r="AC66" s="119">
        <f t="shared" ca="1" si="11"/>
        <v>7.1843497486685361E-5</v>
      </c>
      <c r="AD66" s="39"/>
      <c r="AE66" s="39"/>
    </row>
    <row r="67" spans="19:31" x14ac:dyDescent="0.25">
      <c r="S67" s="39"/>
      <c r="T67" s="39"/>
      <c r="U67" s="39"/>
      <c r="V67" s="117">
        <v>2.6</v>
      </c>
      <c r="W67" s="118">
        <f t="shared" ca="1" si="9"/>
        <v>22.188792147983936</v>
      </c>
      <c r="X67" s="119">
        <f t="shared" ca="1" si="10"/>
        <v>2.6709634677889758E-2</v>
      </c>
      <c r="Y67" s="119">
        <f t="shared" ca="1" si="11"/>
        <v>0.11559542612997495</v>
      </c>
      <c r="Z67" s="119">
        <f t="shared" ca="1" si="11"/>
        <v>3.8552547619729598E-7</v>
      </c>
      <c r="AA67" s="119">
        <f t="shared" ca="1" si="11"/>
        <v>0.11584271108480447</v>
      </c>
      <c r="AB67" s="119">
        <f t="shared" ca="1" si="11"/>
        <v>2.9977605436207473E-6</v>
      </c>
      <c r="AC67" s="119">
        <f t="shared" ca="1" si="11"/>
        <v>3.1467121323891568E-5</v>
      </c>
      <c r="AD67" s="39"/>
      <c r="AE67" s="39"/>
    </row>
    <row r="68" spans="19:31" x14ac:dyDescent="0.25">
      <c r="S68" s="39"/>
      <c r="T68" s="39"/>
      <c r="U68" s="39"/>
      <c r="V68" s="117">
        <v>2.7</v>
      </c>
      <c r="W68" s="118">
        <f t="shared" ca="1" si="9"/>
        <v>22.239646341227282</v>
      </c>
      <c r="X68" s="119">
        <f t="shared" ca="1" si="10"/>
        <v>2.0491790646558428E-2</v>
      </c>
      <c r="Y68" s="119">
        <f t="shared" ca="1" si="11"/>
        <v>8.8087024495265467E-2</v>
      </c>
      <c r="Z68" s="119">
        <f t="shared" ca="1" si="11"/>
        <v>1.5630069581984451E-7</v>
      </c>
      <c r="AA68" s="119">
        <f t="shared" ca="1" si="11"/>
        <v>9.8334180187468478E-2</v>
      </c>
      <c r="AB68" s="119">
        <f t="shared" ca="1" si="11"/>
        <v>1.3380473696560587E-6</v>
      </c>
      <c r="AC68" s="119">
        <f t="shared" ca="1" si="11"/>
        <v>1.3334148376939173E-5</v>
      </c>
      <c r="AD68" s="39"/>
      <c r="AE68" s="39"/>
    </row>
    <row r="69" spans="19:31" x14ac:dyDescent="0.25">
      <c r="S69" s="39"/>
      <c r="T69" s="39"/>
      <c r="U69" s="39"/>
      <c r="V69" s="117">
        <v>2.80000000000001</v>
      </c>
      <c r="W69" s="118">
        <f t="shared" ca="1" si="9"/>
        <v>22.290500534470631</v>
      </c>
      <c r="X69" s="119">
        <f t="shared" ca="1" si="10"/>
        <v>1.5564992930087583E-2</v>
      </c>
      <c r="Y69" s="119">
        <f t="shared" ca="1" si="11"/>
        <v>6.6050160407032502E-2</v>
      </c>
      <c r="Z69" s="119">
        <f t="shared" ca="1" si="11"/>
        <v>6.1719046145037815E-8</v>
      </c>
      <c r="AA69" s="119">
        <f t="shared" ca="1" si="11"/>
        <v>8.286409074102255E-2</v>
      </c>
      <c r="AB69" s="119">
        <f t="shared" ca="1" si="11"/>
        <v>5.8282686130424522E-7</v>
      </c>
      <c r="AC69" s="119">
        <f t="shared" ca="1" si="11"/>
        <v>5.4665367631983359E-6</v>
      </c>
      <c r="AD69" s="39"/>
      <c r="AE69" s="39"/>
    </row>
    <row r="70" spans="19:31" x14ac:dyDescent="0.25">
      <c r="S70" s="39"/>
      <c r="T70" s="39"/>
      <c r="U70" s="39"/>
      <c r="V70" s="117">
        <v>2.9000000000000101</v>
      </c>
      <c r="W70" s="118">
        <f t="shared" ca="1" si="9"/>
        <v>22.341354727713977</v>
      </c>
      <c r="X70" s="119">
        <f t="shared" ca="1" si="10"/>
        <v>1.1705096551806226E-2</v>
      </c>
      <c r="Y70" s="119">
        <f t="shared" ca="1" si="11"/>
        <v>4.8733371707651615E-2</v>
      </c>
      <c r="Z70" s="119">
        <f t="shared" ca="1" si="11"/>
        <v>2.3737116679182377E-8</v>
      </c>
      <c r="AA70" s="119">
        <f t="shared" ca="1" si="11"/>
        <v>6.9319323600081986E-2</v>
      </c>
      <c r="AB70" s="119">
        <f t="shared" ca="1" si="11"/>
        <v>2.4774286244801386E-7</v>
      </c>
      <c r="AC70" s="119">
        <f t="shared" ca="1" si="11"/>
        <v>2.1681932278392567E-6</v>
      </c>
      <c r="AD70" s="39"/>
      <c r="AE70" s="39"/>
    </row>
    <row r="71" spans="19:31" x14ac:dyDescent="0.25">
      <c r="S71" s="39"/>
      <c r="T71" s="39"/>
      <c r="U71" s="39"/>
      <c r="V71" s="117">
        <v>3.0000000000000102</v>
      </c>
      <c r="W71" s="118">
        <f t="shared" ca="1" si="9"/>
        <v>22.392208920957323</v>
      </c>
      <c r="X71" s="119">
        <f t="shared" ca="1" si="10"/>
        <v>8.7148141171580016E-3</v>
      </c>
      <c r="Y71" s="119">
        <f t="shared" ca="1" si="11"/>
        <v>3.5380966292364431E-2</v>
      </c>
      <c r="Z71" s="119">
        <f t="shared" ca="1" si="11"/>
        <v>8.8917488732185095E-9</v>
      </c>
      <c r="AA71" s="119">
        <f t="shared" ca="1" si="11"/>
        <v>5.7566303449210036E-2</v>
      </c>
      <c r="AB71" s="119">
        <f t="shared" ca="1" si="11"/>
        <v>1.0276761181884439E-7</v>
      </c>
      <c r="AC71" s="119">
        <f t="shared" ca="1" si="11"/>
        <v>8.3199825394357242E-7</v>
      </c>
      <c r="AD71" s="39"/>
      <c r="AE71" s="39"/>
    </row>
    <row r="72" spans="19:31" x14ac:dyDescent="0.25"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</row>
    <row r="73" spans="19:31" x14ac:dyDescent="0.25"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</row>
  </sheetData>
  <sheetProtection algorithmName="SHA-512" hashValue="KCPREcb/hHammUlDQUbeRiyEOCvR4IOinWWq0W4wq1IW/112Ik/xjEUbbFm6lKYBSpYOCa0DCrtcN7hYln4/sg==" saltValue="EY1h6woBWLsyowu0lz67ZQ==" spinCount="100000" sheet="1" objects="1" scenarios="1"/>
  <protectedRanges>
    <protectedRange sqref="D5:E5 Q5:Q6 H4:L14" name="Plage1"/>
  </protectedRanges>
  <mergeCells count="9">
    <mergeCell ref="W7:X7"/>
    <mergeCell ref="C34:F34"/>
    <mergeCell ref="G34:N34"/>
    <mergeCell ref="P35:Q35"/>
    <mergeCell ref="K42:L42"/>
    <mergeCell ref="O42:Q42"/>
    <mergeCell ref="P43:Q43"/>
    <mergeCell ref="H3:L3"/>
    <mergeCell ref="C4:E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EACA3-A69D-45B9-B7EC-CE81859C451B}">
  <dimension ref="B1:W93"/>
  <sheetViews>
    <sheetView showGridLines="0" zoomScale="85" zoomScaleNormal="85" workbookViewId="0">
      <selection activeCell="R37" sqref="R37"/>
    </sheetView>
  </sheetViews>
  <sheetFormatPr baseColWidth="10" defaultColWidth="10.85546875" defaultRowHeight="15" x14ac:dyDescent="0.25"/>
  <cols>
    <col min="1" max="1" width="5.5703125" style="41" customWidth="1"/>
    <col min="2" max="2" width="10.85546875" style="41"/>
    <col min="3" max="3" width="13.7109375" style="41" customWidth="1"/>
    <col min="4" max="8" width="10.85546875" style="41"/>
    <col min="9" max="11" width="11" style="41" bestFit="1" customWidth="1"/>
    <col min="12" max="12" width="12.42578125" style="41" bestFit="1" customWidth="1"/>
    <col min="13" max="13" width="11.85546875" style="41" customWidth="1"/>
    <col min="14" max="14" width="10.140625" style="41" customWidth="1"/>
    <col min="15" max="15" width="9.42578125" style="41" customWidth="1"/>
    <col min="16" max="16" width="11.42578125" style="41" customWidth="1"/>
    <col min="17" max="18" width="10.85546875" style="41"/>
    <col min="19" max="23" width="10.85546875" style="39"/>
    <col min="24" max="16384" width="10.85546875" style="41"/>
  </cols>
  <sheetData>
    <row r="1" spans="2:18" ht="15.75" thickBot="1" x14ac:dyDescent="0.3"/>
    <row r="2" spans="2:18" x14ac:dyDescent="0.25">
      <c r="B2" s="74"/>
      <c r="C2" s="103"/>
      <c r="D2" s="103"/>
      <c r="E2" s="103"/>
      <c r="F2" s="75"/>
      <c r="G2" s="75"/>
      <c r="H2" s="75"/>
      <c r="I2" s="75"/>
      <c r="J2" s="75"/>
      <c r="K2" s="75"/>
      <c r="L2" s="75"/>
      <c r="M2" s="75"/>
      <c r="N2" s="76"/>
    </row>
    <row r="3" spans="2:18" x14ac:dyDescent="0.25">
      <c r="B3" s="77"/>
      <c r="C3" s="272" t="s">
        <v>64</v>
      </c>
      <c r="D3" s="272"/>
      <c r="E3" s="272"/>
      <c r="G3" s="268" t="s">
        <v>129</v>
      </c>
      <c r="H3" s="268"/>
      <c r="I3" s="268"/>
      <c r="J3" s="268"/>
      <c r="K3" s="104"/>
      <c r="L3" s="104">
        <f>SUM(H3:K3)</f>
        <v>0</v>
      </c>
      <c r="M3" s="104">
        <f>SUM(I3:L3)</f>
        <v>0</v>
      </c>
      <c r="N3" s="105"/>
    </row>
    <row r="4" spans="2:18" x14ac:dyDescent="0.25">
      <c r="B4" s="77"/>
      <c r="C4" s="101" t="s">
        <v>61</v>
      </c>
      <c r="D4" s="79" t="s">
        <v>130</v>
      </c>
      <c r="E4" s="42">
        <v>3</v>
      </c>
      <c r="G4" s="102" t="s">
        <v>61</v>
      </c>
      <c r="H4" s="102" t="s">
        <v>67</v>
      </c>
      <c r="I4" s="102" t="s">
        <v>131</v>
      </c>
      <c r="J4" s="102" t="s">
        <v>69</v>
      </c>
      <c r="K4" s="104"/>
      <c r="L4" s="71" t="s">
        <v>12</v>
      </c>
      <c r="M4" s="42">
        <v>0</v>
      </c>
      <c r="N4" s="38">
        <f>M4</f>
        <v>0</v>
      </c>
      <c r="O4" s="39">
        <v>0</v>
      </c>
      <c r="P4" s="40">
        <f>R63</f>
        <v>0</v>
      </c>
      <c r="Q4" s="39">
        <v>0</v>
      </c>
      <c r="R4" s="40">
        <f ca="1">V63</f>
        <v>1.4584211252059829</v>
      </c>
    </row>
    <row r="5" spans="2:18" x14ac:dyDescent="0.25">
      <c r="B5" s="77"/>
      <c r="C5" s="101" t="s">
        <v>67</v>
      </c>
      <c r="D5" s="79" t="s">
        <v>55</v>
      </c>
      <c r="E5" s="42">
        <v>3</v>
      </c>
      <c r="G5" s="287" t="s">
        <v>132</v>
      </c>
      <c r="H5" s="290" t="s">
        <v>133</v>
      </c>
      <c r="I5" s="106" t="s">
        <v>134</v>
      </c>
      <c r="J5" s="107">
        <f ca="1">1+RAND()</f>
        <v>1.3275994576281012</v>
      </c>
      <c r="K5" s="292">
        <f ca="1">AVERAGE(J5:J7)</f>
        <v>1.407614203906812</v>
      </c>
      <c r="L5" s="71" t="s">
        <v>11</v>
      </c>
      <c r="M5" s="42">
        <v>3</v>
      </c>
      <c r="N5" s="38">
        <f>M5</f>
        <v>3</v>
      </c>
      <c r="O5" s="39">
        <v>0</v>
      </c>
      <c r="P5" s="40">
        <f>P4</f>
        <v>0</v>
      </c>
      <c r="Q5" s="39">
        <v>0</v>
      </c>
      <c r="R5" s="40">
        <f ca="1">R4</f>
        <v>1.4584211252059829</v>
      </c>
    </row>
    <row r="6" spans="2:18" x14ac:dyDescent="0.25">
      <c r="B6" s="77"/>
      <c r="C6" s="101" t="s">
        <v>131</v>
      </c>
      <c r="D6" s="79" t="s">
        <v>68</v>
      </c>
      <c r="E6" s="42">
        <v>3</v>
      </c>
      <c r="G6" s="288"/>
      <c r="H6" s="291"/>
      <c r="I6" s="106" t="s">
        <v>135</v>
      </c>
      <c r="J6" s="107">
        <f t="shared" ref="J6:J31" ca="1" si="0">1+RAND()</f>
        <v>1.3139660818238879</v>
      </c>
      <c r="K6" s="292"/>
      <c r="N6" s="44"/>
      <c r="P6" s="108"/>
      <c r="R6" s="108"/>
    </row>
    <row r="7" spans="2:18" x14ac:dyDescent="0.25">
      <c r="B7" s="77"/>
      <c r="G7" s="288"/>
      <c r="H7" s="291"/>
      <c r="I7" s="106" t="s">
        <v>136</v>
      </c>
      <c r="J7" s="107">
        <f t="shared" ca="1" si="0"/>
        <v>1.5812770722684468</v>
      </c>
      <c r="K7" s="292"/>
      <c r="L7" s="71" t="s">
        <v>13</v>
      </c>
      <c r="M7" s="51">
        <f ca="1">AVERAGE(J5:J31)</f>
        <v>1.5416759800369759</v>
      </c>
      <c r="N7" s="44"/>
      <c r="P7" s="108"/>
      <c r="R7" s="108"/>
    </row>
    <row r="8" spans="2:18" x14ac:dyDescent="0.25">
      <c r="B8" s="77"/>
      <c r="C8" s="41" t="s">
        <v>137</v>
      </c>
      <c r="G8" s="288"/>
      <c r="H8" s="293" t="s">
        <v>138</v>
      </c>
      <c r="I8" s="106" t="s">
        <v>139</v>
      </c>
      <c r="J8" s="107">
        <f t="shared" ca="1" si="0"/>
        <v>1.8256829506370642</v>
      </c>
      <c r="K8" s="292">
        <f t="shared" ref="K8" ca="1" si="1">AVERAGE(J8:J10)</f>
        <v>1.4736850707778573</v>
      </c>
      <c r="L8" s="71" t="s">
        <v>58</v>
      </c>
      <c r="M8" s="51">
        <f ca="1">I53</f>
        <v>7.4826294475654448E-2</v>
      </c>
      <c r="N8" s="44"/>
      <c r="P8" s="108"/>
      <c r="R8" s="108"/>
    </row>
    <row r="9" spans="2:18" x14ac:dyDescent="0.25">
      <c r="B9" s="77"/>
      <c r="C9" s="41" t="s">
        <v>140</v>
      </c>
      <c r="G9" s="288"/>
      <c r="H9" s="294"/>
      <c r="I9" s="106" t="s">
        <v>141</v>
      </c>
      <c r="J9" s="107">
        <f t="shared" ca="1" si="0"/>
        <v>1.4581127750682423</v>
      </c>
      <c r="K9" s="292"/>
      <c r="L9" s="71" t="s">
        <v>59</v>
      </c>
      <c r="M9" s="51">
        <f ca="1">SQRT(M8)</f>
        <v>0.27354395346206145</v>
      </c>
      <c r="N9" s="44"/>
      <c r="P9" s="108"/>
      <c r="R9" s="108"/>
    </row>
    <row r="10" spans="2:18" x14ac:dyDescent="0.25">
      <c r="B10" s="77"/>
      <c r="G10" s="288"/>
      <c r="H10" s="294"/>
      <c r="I10" s="106" t="s">
        <v>142</v>
      </c>
      <c r="J10" s="107">
        <f t="shared" ca="1" si="0"/>
        <v>1.137259486628265</v>
      </c>
      <c r="K10" s="292"/>
      <c r="L10" s="71" t="s">
        <v>14</v>
      </c>
      <c r="M10" s="51">
        <f ca="1">MIN(J5:J31)</f>
        <v>1.0732488266344398</v>
      </c>
      <c r="N10" s="44"/>
      <c r="P10" s="108"/>
      <c r="R10" s="108"/>
    </row>
    <row r="11" spans="2:18" x14ac:dyDescent="0.25">
      <c r="B11" s="77"/>
      <c r="C11" s="41" t="s">
        <v>143</v>
      </c>
      <c r="G11" s="288"/>
      <c r="H11" s="290" t="s">
        <v>144</v>
      </c>
      <c r="I11" s="106" t="s">
        <v>145</v>
      </c>
      <c r="J11" s="107">
        <f t="shared" ca="1" si="0"/>
        <v>1.6777523690041676</v>
      </c>
      <c r="K11" s="292">
        <f t="shared" ref="K11" ca="1" si="2">AVERAGE(J11:J13)</f>
        <v>1.8054868944453013</v>
      </c>
      <c r="L11" s="71" t="s">
        <v>15</v>
      </c>
      <c r="M11" s="51">
        <f ca="1">MAX(J5:J31)</f>
        <v>1.9834304370226734</v>
      </c>
      <c r="N11" s="44"/>
      <c r="P11" s="108"/>
      <c r="R11" s="108"/>
    </row>
    <row r="12" spans="2:18" x14ac:dyDescent="0.25">
      <c r="B12" s="77"/>
      <c r="C12" s="41" t="s">
        <v>146</v>
      </c>
      <c r="G12" s="288"/>
      <c r="H12" s="291"/>
      <c r="I12" s="106" t="s">
        <v>147</v>
      </c>
      <c r="J12" s="107">
        <f t="shared" ca="1" si="0"/>
        <v>1.8592157942141401</v>
      </c>
      <c r="K12" s="292"/>
      <c r="N12" s="44"/>
      <c r="P12" s="108"/>
      <c r="R12" s="108"/>
    </row>
    <row r="13" spans="2:18" x14ac:dyDescent="0.25">
      <c r="B13" s="77"/>
      <c r="G13" s="289"/>
      <c r="H13" s="291"/>
      <c r="I13" s="106" t="s">
        <v>148</v>
      </c>
      <c r="J13" s="107">
        <f t="shared" ca="1" si="0"/>
        <v>1.8794925201175969</v>
      </c>
      <c r="K13" s="292"/>
      <c r="N13" s="44"/>
    </row>
    <row r="14" spans="2:18" x14ac:dyDescent="0.25">
      <c r="B14" s="77"/>
      <c r="G14" s="287" t="s">
        <v>149</v>
      </c>
      <c r="H14" s="290" t="s">
        <v>133</v>
      </c>
      <c r="I14" s="106" t="s">
        <v>150</v>
      </c>
      <c r="J14" s="107">
        <f t="shared" ca="1" si="0"/>
        <v>1.4093733627882599</v>
      </c>
      <c r="K14" s="292">
        <f t="shared" ref="K14" ca="1" si="3">AVERAGE(J14:J16)</f>
        <v>1.3979026105711849</v>
      </c>
      <c r="N14" s="44"/>
      <c r="P14" s="108"/>
      <c r="R14" s="108"/>
    </row>
    <row r="15" spans="2:18" x14ac:dyDescent="0.25">
      <c r="B15" s="77"/>
      <c r="G15" s="288"/>
      <c r="H15" s="291"/>
      <c r="I15" s="106" t="s">
        <v>151</v>
      </c>
      <c r="J15" s="107">
        <f t="shared" ca="1" si="0"/>
        <v>1.7110856422908549</v>
      </c>
      <c r="K15" s="292"/>
      <c r="N15" s="44"/>
      <c r="P15" s="108"/>
      <c r="R15" s="108"/>
    </row>
    <row r="16" spans="2:18" x14ac:dyDescent="0.25">
      <c r="B16" s="77"/>
      <c r="G16" s="288"/>
      <c r="H16" s="291"/>
      <c r="I16" s="106" t="s">
        <v>152</v>
      </c>
      <c r="J16" s="107">
        <f t="shared" ca="1" si="0"/>
        <v>1.0732488266344398</v>
      </c>
      <c r="K16" s="292"/>
      <c r="N16" s="44"/>
      <c r="P16" s="108"/>
      <c r="R16" s="108"/>
    </row>
    <row r="17" spans="2:18" x14ac:dyDescent="0.25">
      <c r="B17" s="77"/>
      <c r="G17" s="288"/>
      <c r="H17" s="293" t="s">
        <v>138</v>
      </c>
      <c r="I17" s="106" t="s">
        <v>153</v>
      </c>
      <c r="J17" s="107">
        <f t="shared" ca="1" si="0"/>
        <v>1.2944253929318608</v>
      </c>
      <c r="K17" s="292">
        <f t="shared" ref="K17" ca="1" si="4">AVERAGE(J17:J19)</f>
        <v>1.7226873001952898</v>
      </c>
      <c r="N17" s="44"/>
      <c r="P17" s="108"/>
      <c r="R17" s="108"/>
    </row>
    <row r="18" spans="2:18" x14ac:dyDescent="0.25">
      <c r="B18" s="77"/>
      <c r="G18" s="288"/>
      <c r="H18" s="294"/>
      <c r="I18" s="106" t="s">
        <v>154</v>
      </c>
      <c r="J18" s="107">
        <f t="shared" ca="1" si="0"/>
        <v>1.9148934437339964</v>
      </c>
      <c r="K18" s="292"/>
      <c r="N18" s="44"/>
      <c r="P18" s="108"/>
      <c r="R18" s="108"/>
    </row>
    <row r="19" spans="2:18" x14ac:dyDescent="0.25">
      <c r="B19" s="77"/>
      <c r="C19" s="110"/>
      <c r="G19" s="288"/>
      <c r="H19" s="294"/>
      <c r="I19" s="106" t="s">
        <v>155</v>
      </c>
      <c r="J19" s="107">
        <f t="shared" ca="1" si="0"/>
        <v>1.9587430639200123</v>
      </c>
      <c r="K19" s="292"/>
      <c r="N19" s="44"/>
      <c r="P19" s="108"/>
      <c r="R19" s="108"/>
    </row>
    <row r="20" spans="2:18" x14ac:dyDescent="0.25">
      <c r="B20" s="77"/>
      <c r="C20" s="110"/>
      <c r="G20" s="288"/>
      <c r="H20" s="290" t="s">
        <v>144</v>
      </c>
      <c r="I20" s="106" t="s">
        <v>156</v>
      </c>
      <c r="J20" s="107">
        <f t="shared" ca="1" si="0"/>
        <v>1.5712213997345903</v>
      </c>
      <c r="K20" s="292">
        <f t="shared" ref="K20" ca="1" si="5">AVERAGE(J20:J22)</f>
        <v>1.6236738138352251</v>
      </c>
      <c r="N20" s="44"/>
      <c r="P20" s="108"/>
      <c r="R20" s="108"/>
    </row>
    <row r="21" spans="2:18" x14ac:dyDescent="0.25">
      <c r="B21" s="77"/>
      <c r="C21" s="110"/>
      <c r="G21" s="288"/>
      <c r="H21" s="291"/>
      <c r="I21" s="106" t="s">
        <v>157</v>
      </c>
      <c r="J21" s="107">
        <f t="shared" ca="1" si="0"/>
        <v>1.4344293394186725</v>
      </c>
      <c r="K21" s="292"/>
      <c r="N21" s="44"/>
      <c r="P21" s="108"/>
      <c r="R21" s="108"/>
    </row>
    <row r="22" spans="2:18" x14ac:dyDescent="0.25">
      <c r="B22" s="77"/>
      <c r="C22" s="110"/>
      <c r="G22" s="289"/>
      <c r="H22" s="291"/>
      <c r="I22" s="106" t="s">
        <v>158</v>
      </c>
      <c r="J22" s="107">
        <f t="shared" ca="1" si="0"/>
        <v>1.8653707023524126</v>
      </c>
      <c r="K22" s="292"/>
      <c r="N22" s="44"/>
      <c r="P22" s="108"/>
      <c r="R22" s="108"/>
    </row>
    <row r="23" spans="2:18" x14ac:dyDescent="0.25">
      <c r="B23" s="77"/>
      <c r="C23" s="110"/>
      <c r="G23" s="287" t="s">
        <v>159</v>
      </c>
      <c r="H23" s="290" t="s">
        <v>133</v>
      </c>
      <c r="I23" s="106" t="s">
        <v>160</v>
      </c>
      <c r="J23" s="107">
        <f t="shared" ca="1" si="0"/>
        <v>1.9834304370226734</v>
      </c>
      <c r="K23" s="292">
        <f t="shared" ref="K23" ca="1" si="6">AVERAGE(J23:J25)</f>
        <v>1.5872154987105604</v>
      </c>
      <c r="N23" s="44"/>
      <c r="P23" s="108"/>
      <c r="R23" s="108"/>
    </row>
    <row r="24" spans="2:18" x14ac:dyDescent="0.25">
      <c r="B24" s="77"/>
      <c r="C24" s="110"/>
      <c r="G24" s="288"/>
      <c r="H24" s="291"/>
      <c r="I24" s="106" t="s">
        <v>161</v>
      </c>
      <c r="J24" s="107">
        <f t="shared" ca="1" si="0"/>
        <v>1.4842606779642593</v>
      </c>
      <c r="K24" s="292"/>
      <c r="N24" s="44"/>
      <c r="P24" s="108"/>
      <c r="R24" s="108"/>
    </row>
    <row r="25" spans="2:18" x14ac:dyDescent="0.25">
      <c r="B25" s="77"/>
      <c r="C25" s="110"/>
      <c r="G25" s="288"/>
      <c r="H25" s="291"/>
      <c r="I25" s="106" t="s">
        <v>162</v>
      </c>
      <c r="J25" s="107">
        <f t="shared" ca="1" si="0"/>
        <v>1.2939553811447488</v>
      </c>
      <c r="K25" s="292"/>
      <c r="N25" s="44"/>
      <c r="P25" s="108"/>
      <c r="R25" s="108"/>
    </row>
    <row r="26" spans="2:18" x14ac:dyDescent="0.25">
      <c r="B26" s="77"/>
      <c r="C26" s="110"/>
      <c r="G26" s="288"/>
      <c r="H26" s="293" t="s">
        <v>138</v>
      </c>
      <c r="I26" s="106" t="s">
        <v>163</v>
      </c>
      <c r="J26" s="107">
        <f t="shared" ca="1" si="0"/>
        <v>1.4758070516857202</v>
      </c>
      <c r="K26" s="292">
        <f t="shared" ref="K26" ca="1" si="7">AVERAGE(J26:J28)</f>
        <v>1.2969291352060253</v>
      </c>
      <c r="N26" s="44"/>
      <c r="P26" s="108"/>
      <c r="R26" s="108"/>
    </row>
    <row r="27" spans="2:18" x14ac:dyDescent="0.25">
      <c r="B27" s="77"/>
      <c r="C27" s="110"/>
      <c r="G27" s="288"/>
      <c r="H27" s="294"/>
      <c r="I27" s="106" t="s">
        <v>164</v>
      </c>
      <c r="J27" s="107">
        <f t="shared" ca="1" si="0"/>
        <v>1.341237240881394</v>
      </c>
      <c r="K27" s="292"/>
      <c r="N27" s="44"/>
      <c r="P27" s="108"/>
      <c r="R27" s="108"/>
    </row>
    <row r="28" spans="2:18" x14ac:dyDescent="0.25">
      <c r="B28" s="77"/>
      <c r="C28" s="110"/>
      <c r="G28" s="288"/>
      <c r="H28" s="294"/>
      <c r="I28" s="106" t="s">
        <v>165</v>
      </c>
      <c r="J28" s="107">
        <f t="shared" ca="1" si="0"/>
        <v>1.0737431130509614</v>
      </c>
      <c r="K28" s="292"/>
      <c r="N28" s="44"/>
      <c r="P28" s="108"/>
      <c r="R28" s="108"/>
    </row>
    <row r="29" spans="2:18" x14ac:dyDescent="0.25">
      <c r="B29" s="77"/>
      <c r="C29" s="110"/>
      <c r="G29" s="288"/>
      <c r="H29" s="295" t="s">
        <v>144</v>
      </c>
      <c r="I29" s="106" t="s">
        <v>166</v>
      </c>
      <c r="J29" s="107">
        <f t="shared" ca="1" si="0"/>
        <v>1.3339033144794732</v>
      </c>
      <c r="K29" s="292">
        <f t="shared" ref="K29" ca="1" si="8">AVERAGE(J29:J31)</f>
        <v>1.559889292684532</v>
      </c>
      <c r="N29" s="44"/>
      <c r="P29" s="108"/>
      <c r="R29" s="108"/>
    </row>
    <row r="30" spans="2:18" x14ac:dyDescent="0.25">
      <c r="B30" s="77"/>
      <c r="C30" s="110"/>
      <c r="G30" s="288"/>
      <c r="H30" s="295"/>
      <c r="I30" s="106" t="s">
        <v>167</v>
      </c>
      <c r="J30" s="107">
        <f t="shared" ca="1" si="0"/>
        <v>1.7149361774348075</v>
      </c>
      <c r="K30" s="292"/>
      <c r="N30" s="44"/>
      <c r="P30" s="108"/>
      <c r="R30" s="108"/>
    </row>
    <row r="31" spans="2:18" x14ac:dyDescent="0.25">
      <c r="B31" s="77"/>
      <c r="C31" s="110"/>
      <c r="G31" s="289"/>
      <c r="H31" s="295"/>
      <c r="I31" s="106" t="s">
        <v>168</v>
      </c>
      <c r="J31" s="107">
        <f t="shared" ca="1" si="0"/>
        <v>1.6308283861393149</v>
      </c>
      <c r="K31" s="292"/>
      <c r="N31" s="44"/>
      <c r="P31" s="108"/>
      <c r="R31" s="108"/>
    </row>
    <row r="32" spans="2:18" ht="15.75" thickBot="1" x14ac:dyDescent="0.3">
      <c r="B32" s="83"/>
      <c r="C32" s="84"/>
      <c r="D32" s="84"/>
      <c r="E32" s="84"/>
      <c r="F32" s="84"/>
      <c r="G32" s="111"/>
      <c r="H32" s="111"/>
      <c r="I32" s="111"/>
      <c r="J32" s="111"/>
      <c r="K32" s="111"/>
      <c r="L32" s="111"/>
      <c r="M32" s="111"/>
      <c r="N32" s="112"/>
      <c r="O32" s="113"/>
    </row>
    <row r="33" spans="2:22" x14ac:dyDescent="0.25">
      <c r="B33" s="87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5"/>
      <c r="O33" s="116"/>
      <c r="P33" s="116"/>
      <c r="T33" s="117">
        <v>-3</v>
      </c>
      <c r="U33" s="118">
        <f t="shared" ref="U33:U93" ca="1" si="9">M$7+T33*SQRT(M$8)</f>
        <v>0.72104411965079152</v>
      </c>
      <c r="V33" s="119">
        <f t="shared" ref="V33:V93" ca="1" si="10">NORMDIST(U33,M$7,SQRT(M$8),0)</f>
        <v>1.6201595231212715E-2</v>
      </c>
    </row>
    <row r="34" spans="2:22" x14ac:dyDescent="0.25">
      <c r="B34" s="77"/>
      <c r="N34" s="44"/>
      <c r="T34" s="117">
        <v>-2.9</v>
      </c>
      <c r="U34" s="118">
        <f t="shared" ca="1" si="9"/>
        <v>0.74839851499699772</v>
      </c>
      <c r="V34" s="119">
        <f t="shared" ca="1" si="10"/>
        <v>2.1760789607807675E-2</v>
      </c>
    </row>
    <row r="35" spans="2:22" x14ac:dyDescent="0.25">
      <c r="B35" s="77"/>
      <c r="N35" s="44"/>
      <c r="T35" s="117">
        <v>-2.8</v>
      </c>
      <c r="U35" s="118">
        <f t="shared" ca="1" si="9"/>
        <v>0.77575291034320393</v>
      </c>
      <c r="V35" s="119">
        <f t="shared" ca="1" si="10"/>
        <v>2.8936671722403044E-2</v>
      </c>
    </row>
    <row r="36" spans="2:22" x14ac:dyDescent="0.25">
      <c r="B36" s="77"/>
      <c r="N36" s="44"/>
      <c r="T36" s="117">
        <v>-2.7</v>
      </c>
      <c r="U36" s="118">
        <f t="shared" ca="1" si="9"/>
        <v>0.80310730568940991</v>
      </c>
      <c r="V36" s="119">
        <f t="shared" ca="1" si="10"/>
        <v>3.8096015951118063E-2</v>
      </c>
    </row>
    <row r="37" spans="2:22" x14ac:dyDescent="0.25">
      <c r="B37" s="77"/>
      <c r="N37" s="44"/>
      <c r="T37" s="117">
        <v>-2.6</v>
      </c>
      <c r="U37" s="118">
        <f t="shared" ca="1" si="9"/>
        <v>0.83046170103561612</v>
      </c>
      <c r="V37" s="119">
        <f t="shared" ca="1" si="10"/>
        <v>4.9655527244434131E-2</v>
      </c>
    </row>
    <row r="38" spans="2:22" x14ac:dyDescent="0.25">
      <c r="B38" s="77"/>
      <c r="N38" s="44"/>
      <c r="T38" s="117">
        <v>-2.5</v>
      </c>
      <c r="U38" s="118">
        <f t="shared" ca="1" si="9"/>
        <v>0.85781609638182232</v>
      </c>
      <c r="V38" s="119">
        <f t="shared" ca="1" si="10"/>
        <v>6.4078552173150435E-2</v>
      </c>
    </row>
    <row r="39" spans="2:22" x14ac:dyDescent="0.25">
      <c r="B39" s="77"/>
      <c r="N39" s="44"/>
      <c r="T39" s="117">
        <v>-2.4</v>
      </c>
      <c r="U39" s="118">
        <f t="shared" ca="1" si="9"/>
        <v>0.88517049172802842</v>
      </c>
      <c r="V39" s="119">
        <f t="shared" ca="1" si="10"/>
        <v>8.1868123975728305E-2</v>
      </c>
    </row>
    <row r="40" spans="2:22" x14ac:dyDescent="0.25">
      <c r="B40" s="77"/>
      <c r="N40" s="44"/>
      <c r="T40" s="117">
        <v>-2.2999999999999998</v>
      </c>
      <c r="U40" s="118">
        <f t="shared" ca="1" si="9"/>
        <v>0.91252488707423463</v>
      </c>
      <c r="V40" s="119">
        <f t="shared" ca="1" si="10"/>
        <v>0.10355570789661026</v>
      </c>
    </row>
    <row r="41" spans="2:22" x14ac:dyDescent="0.25">
      <c r="B41" s="77"/>
      <c r="N41" s="44"/>
      <c r="T41" s="117">
        <v>-2.2000000000000002</v>
      </c>
      <c r="U41" s="118">
        <f t="shared" ca="1" si="9"/>
        <v>0.93987928242044072</v>
      </c>
      <c r="V41" s="119">
        <f t="shared" ca="1" si="10"/>
        <v>0.12968516539025415</v>
      </c>
    </row>
    <row r="42" spans="2:22" x14ac:dyDescent="0.25">
      <c r="B42" s="77"/>
      <c r="N42" s="44"/>
      <c r="T42" s="117">
        <v>-2.1</v>
      </c>
      <c r="U42" s="118">
        <f t="shared" ca="1" si="9"/>
        <v>0.96723367776664682</v>
      </c>
      <c r="V42" s="119">
        <f t="shared" ca="1" si="10"/>
        <v>0.16079169516911804</v>
      </c>
    </row>
    <row r="43" spans="2:22" x14ac:dyDescent="0.25">
      <c r="B43" s="77"/>
      <c r="N43" s="44"/>
      <c r="T43" s="117">
        <v>-2</v>
      </c>
      <c r="U43" s="118">
        <f t="shared" ca="1" si="9"/>
        <v>0.99458807311285302</v>
      </c>
      <c r="V43" s="119">
        <f t="shared" ca="1" si="10"/>
        <v>0.19737583605801109</v>
      </c>
    </row>
    <row r="44" spans="2:22" x14ac:dyDescent="0.25">
      <c r="B44" s="77"/>
      <c r="N44" s="44"/>
      <c r="T44" s="117">
        <v>-1.9</v>
      </c>
      <c r="U44" s="118">
        <f t="shared" ca="1" si="9"/>
        <v>1.0219424684590592</v>
      </c>
      <c r="V44" s="119">
        <f t="shared" ca="1" si="10"/>
        <v>0.23987302202889693</v>
      </c>
    </row>
    <row r="45" spans="2:22" x14ac:dyDescent="0.25">
      <c r="B45" s="77"/>
      <c r="N45" s="44"/>
      <c r="T45" s="117">
        <v>-1.8</v>
      </c>
      <c r="U45" s="118">
        <f t="shared" ca="1" si="9"/>
        <v>1.0492968638052653</v>
      </c>
      <c r="V45" s="119">
        <f t="shared" ca="1" si="10"/>
        <v>0.2886196433943255</v>
      </c>
    </row>
    <row r="46" spans="2:22" x14ac:dyDescent="0.25">
      <c r="B46" s="77"/>
      <c r="N46" s="44"/>
      <c r="T46" s="117">
        <v>-1.7</v>
      </c>
      <c r="U46" s="118">
        <f t="shared" ca="1" si="9"/>
        <v>1.0766512591514714</v>
      </c>
      <c r="V46" s="119">
        <f t="shared" ca="1" si="10"/>
        <v>0.34381705823349823</v>
      </c>
    </row>
    <row r="47" spans="2:22" x14ac:dyDescent="0.25">
      <c r="B47" s="77"/>
      <c r="N47" s="44"/>
      <c r="T47" s="117">
        <v>-1.6</v>
      </c>
      <c r="U47" s="118">
        <f t="shared" ca="1" si="9"/>
        <v>1.1040056544976775</v>
      </c>
      <c r="V47" s="119">
        <f t="shared" ca="1" si="10"/>
        <v>0.40549547257618118</v>
      </c>
    </row>
    <row r="48" spans="2:22" x14ac:dyDescent="0.25">
      <c r="B48" s="77"/>
      <c r="N48" s="44"/>
      <c r="T48" s="117">
        <v>-1.5</v>
      </c>
      <c r="U48" s="118">
        <f t="shared" ca="1" si="9"/>
        <v>1.1313600498438836</v>
      </c>
      <c r="V48" s="119">
        <f t="shared" ca="1" si="10"/>
        <v>0.4734800167456627</v>
      </c>
    </row>
    <row r="49" spans="2:22" ht="15.75" thickBot="1" x14ac:dyDescent="0.3">
      <c r="B49" s="83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6"/>
      <c r="O49" s="77"/>
      <c r="T49" s="117">
        <v>-1.4</v>
      </c>
      <c r="U49" s="118">
        <f t="shared" ca="1" si="9"/>
        <v>1.1587144451900899</v>
      </c>
      <c r="V49" s="119">
        <f t="shared" ca="1" si="10"/>
        <v>0.54736163508915203</v>
      </c>
    </row>
    <row r="50" spans="2:22" x14ac:dyDescent="0.25">
      <c r="B50" s="74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6"/>
      <c r="T50" s="117">
        <v>-1.3</v>
      </c>
      <c r="U50" s="118">
        <f t="shared" ca="1" si="9"/>
        <v>1.186068840536296</v>
      </c>
      <c r="V50" s="119">
        <f t="shared" ca="1" si="10"/>
        <v>0.62647552570221554</v>
      </c>
    </row>
    <row r="51" spans="2:22" x14ac:dyDescent="0.25">
      <c r="B51" s="77"/>
      <c r="C51" s="286" t="s">
        <v>52</v>
      </c>
      <c r="D51" s="286"/>
      <c r="E51" s="286"/>
      <c r="F51" s="286"/>
      <c r="G51" s="267" t="s">
        <v>53</v>
      </c>
      <c r="H51" s="268"/>
      <c r="I51" s="268"/>
      <c r="J51" s="268"/>
      <c r="K51" s="269"/>
      <c r="N51" s="44"/>
      <c r="T51" s="117">
        <v>-1.2</v>
      </c>
      <c r="U51" s="118">
        <f t="shared" ca="1" si="9"/>
        <v>1.2134232358825021</v>
      </c>
      <c r="V51" s="119">
        <f t="shared" ca="1" si="10"/>
        <v>0.70988977283369237</v>
      </c>
    </row>
    <row r="52" spans="2:22" x14ac:dyDescent="0.25">
      <c r="B52" s="77"/>
      <c r="C52" s="52" t="s">
        <v>0</v>
      </c>
      <c r="D52" s="52" t="s">
        <v>1</v>
      </c>
      <c r="E52" s="52" t="s">
        <v>6</v>
      </c>
      <c r="F52" s="52" t="s">
        <v>7</v>
      </c>
      <c r="G52" s="52" t="s">
        <v>2</v>
      </c>
      <c r="H52" s="52" t="s">
        <v>3</v>
      </c>
      <c r="I52" s="52" t="s">
        <v>4</v>
      </c>
      <c r="J52" s="53" t="s">
        <v>8</v>
      </c>
      <c r="K52" s="71" t="s">
        <v>169</v>
      </c>
      <c r="N52" s="44"/>
      <c r="T52" s="117">
        <v>-1.1000000000000001</v>
      </c>
      <c r="U52" s="118">
        <f t="shared" ca="1" si="9"/>
        <v>1.2407776312287084</v>
      </c>
      <c r="V52" s="119">
        <f t="shared" ca="1" si="10"/>
        <v>0.79640647974609724</v>
      </c>
    </row>
    <row r="53" spans="2:22" x14ac:dyDescent="0.25">
      <c r="B53" s="77"/>
      <c r="C53" s="54" t="s">
        <v>9</v>
      </c>
      <c r="D53" s="54">
        <f ca="1">COUNT(J5:J31)</f>
        <v>27</v>
      </c>
      <c r="E53" s="55">
        <f ca="1">SUM(J5:J31)^2</f>
        <v>1732.6615591913453</v>
      </c>
      <c r="F53" s="55">
        <f ca="1">E53/D53</f>
        <v>64.172650340420191</v>
      </c>
      <c r="G53" s="120">
        <f ca="1">DEVSQ(J5:J31)</f>
        <v>1.9454836563670157</v>
      </c>
      <c r="H53" s="54">
        <f ca="1">D53-1</f>
        <v>26</v>
      </c>
      <c r="I53" s="121">
        <f ca="1">G53/H53</f>
        <v>7.4826294475654448E-2</v>
      </c>
      <c r="J53" s="122">
        <f ca="1">SUM(J54:J55)</f>
        <v>1</v>
      </c>
      <c r="K53" s="54"/>
      <c r="N53" s="44"/>
      <c r="T53" s="117">
        <v>-1</v>
      </c>
      <c r="U53" s="118">
        <f t="shared" ca="1" si="9"/>
        <v>1.2681320265749145</v>
      </c>
      <c r="V53" s="119">
        <f t="shared" ca="1" si="10"/>
        <v>0.88457712721002613</v>
      </c>
    </row>
    <row r="54" spans="2:22" x14ac:dyDescent="0.25">
      <c r="B54" s="77"/>
      <c r="C54" s="54" t="s">
        <v>10</v>
      </c>
      <c r="D54" s="54" t="s">
        <v>5</v>
      </c>
      <c r="E54" s="56" t="s">
        <v>5</v>
      </c>
      <c r="F54" s="55" t="s">
        <v>5</v>
      </c>
      <c r="G54" s="121">
        <f ca="1">SUM(G56:G58)</f>
        <v>0.64397291170787696</v>
      </c>
      <c r="H54" s="58">
        <f>SUM(H56:H58)</f>
        <v>22</v>
      </c>
      <c r="I54" s="121">
        <f ca="1">G54/H54</f>
        <v>2.9271495986721682E-2</v>
      </c>
      <c r="J54" s="122">
        <f ca="1">G54/G53</f>
        <v>0.33100916042154166</v>
      </c>
      <c r="K54" s="54"/>
      <c r="N54" s="44"/>
      <c r="T54" s="117">
        <v>-0.9</v>
      </c>
      <c r="U54" s="118">
        <f t="shared" ca="1" si="9"/>
        <v>1.2954864219211206</v>
      </c>
      <c r="V54" s="119">
        <f t="shared" ca="1" si="10"/>
        <v>0.97273307097851425</v>
      </c>
    </row>
    <row r="55" spans="2:22" x14ac:dyDescent="0.25">
      <c r="B55" s="77"/>
      <c r="C55" s="54" t="s">
        <v>170</v>
      </c>
      <c r="D55" s="54" t="s">
        <v>5</v>
      </c>
      <c r="E55" s="54" t="s">
        <v>5</v>
      </c>
      <c r="F55" s="54" t="s">
        <v>5</v>
      </c>
      <c r="G55" s="121">
        <f ca="1">G53-G54</f>
        <v>1.3015107446591387</v>
      </c>
      <c r="H55" s="58">
        <f ca="1">H53-H54</f>
        <v>4</v>
      </c>
      <c r="I55" s="121">
        <f ca="1">G55/H55</f>
        <v>0.32537768616478469</v>
      </c>
      <c r="J55" s="122">
        <f ca="1">G55/G53</f>
        <v>0.66899083957845829</v>
      </c>
      <c r="K55" s="121"/>
      <c r="N55" s="44"/>
      <c r="T55" s="117">
        <v>-0.8</v>
      </c>
      <c r="U55" s="118">
        <f t="shared" ca="1" si="9"/>
        <v>1.3228408172673267</v>
      </c>
      <c r="V55" s="119">
        <f t="shared" ca="1" si="10"/>
        <v>1.0590310957162532</v>
      </c>
    </row>
    <row r="56" spans="2:22" x14ac:dyDescent="0.25">
      <c r="B56" s="77"/>
      <c r="C56" s="123" t="str">
        <f>D4</f>
        <v>lot</v>
      </c>
      <c r="D56" s="124">
        <f>E4</f>
        <v>3</v>
      </c>
      <c r="E56" s="125">
        <f ca="1">SUM(J5:J13)^2+SUM(J14:J22)^2+SUM(J23:J31)^2</f>
        <v>578.01096382051196</v>
      </c>
      <c r="F56" s="126">
        <f ca="1">E56*D56/$D$53</f>
        <v>64.223440424501334</v>
      </c>
      <c r="G56" s="127">
        <f ca="1">F56-F53</f>
        <v>5.079008408114305E-2</v>
      </c>
      <c r="H56" s="124">
        <f>D56-1</f>
        <v>2</v>
      </c>
      <c r="I56" s="127">
        <f ca="1">G56/H56</f>
        <v>2.5395042040571525E-2</v>
      </c>
      <c r="J56" s="128">
        <f ca="1">G56/$G$53</f>
        <v>2.6106661916650661E-2</v>
      </c>
      <c r="K56" s="129">
        <f ca="1">MAX(0,(I56-I58)/(D56*D58))</f>
        <v>4.1822902207233463E-4</v>
      </c>
      <c r="L56" s="135" t="s">
        <v>173</v>
      </c>
      <c r="N56" s="44"/>
      <c r="T56" s="117">
        <v>-0.7</v>
      </c>
      <c r="U56" s="118">
        <f t="shared" ca="1" si="9"/>
        <v>1.3501952126135328</v>
      </c>
      <c r="V56" s="119">
        <f t="shared" ca="1" si="10"/>
        <v>1.1415128333665343</v>
      </c>
    </row>
    <row r="57" spans="2:22" x14ac:dyDescent="0.25">
      <c r="B57" s="77"/>
      <c r="C57" s="123" t="str">
        <f>D5</f>
        <v>opérateur</v>
      </c>
      <c r="D57" s="124">
        <f>E5</f>
        <v>3</v>
      </c>
      <c r="E57" s="125">
        <f ca="1">SUM(J5:J7,J14:J16,J23:J25)^2+SUM(J8:J10,J17:J19,J26:J28)^2+SUM(J11:J13,J20:J22,J29:J31)^2</f>
        <v>579.38827961603124</v>
      </c>
      <c r="F57" s="126">
        <f ca="1">E57*D57/$D$53</f>
        <v>64.376475512892355</v>
      </c>
      <c r="G57" s="127">
        <f ca="1">F57-F53</f>
        <v>0.2038251724721647</v>
      </c>
      <c r="H57" s="124">
        <f>D57-1</f>
        <v>2</v>
      </c>
      <c r="I57" s="127">
        <f t="shared" ref="I57" ca="1" si="11">G57/H57</f>
        <v>0.10191258623608235</v>
      </c>
      <c r="J57" s="128">
        <f ca="1">G57/$G$53</f>
        <v>0.10476838075976777</v>
      </c>
      <c r="K57" s="129">
        <f ca="1">MAX(0,(I57-I58)/(D57*D58))</f>
        <v>8.9201783771290927E-3</v>
      </c>
      <c r="L57" s="135" t="s">
        <v>174</v>
      </c>
      <c r="N57" s="44"/>
      <c r="T57" s="117">
        <v>-0.6</v>
      </c>
      <c r="U57" s="118">
        <f t="shared" ca="1" si="9"/>
        <v>1.3775496079597391</v>
      </c>
      <c r="V57" s="119">
        <f t="shared" ca="1" si="10"/>
        <v>1.2181757215774669</v>
      </c>
    </row>
    <row r="58" spans="2:22" x14ac:dyDescent="0.25">
      <c r="B58" s="77"/>
      <c r="C58" s="123" t="s">
        <v>171</v>
      </c>
      <c r="D58" s="124">
        <f>E6</f>
        <v>3</v>
      </c>
      <c r="E58" s="126" t="s">
        <v>5</v>
      </c>
      <c r="F58" s="126" t="s">
        <v>5</v>
      </c>
      <c r="G58" s="127">
        <f ca="1">(D58*SUMSQ(K5:K31)-F53)-G57-G56</f>
        <v>0.38935765515456922</v>
      </c>
      <c r="H58" s="124">
        <f>(D57*D56)*(D58-1)</f>
        <v>18</v>
      </c>
      <c r="I58" s="127">
        <f ca="1">G58/H58</f>
        <v>2.1630980841920514E-2</v>
      </c>
      <c r="J58" s="128">
        <f ca="1">G58/$G$53</f>
        <v>0.20013411774512324</v>
      </c>
      <c r="K58" s="129">
        <f ca="1">I58</f>
        <v>2.1630980841920514E-2</v>
      </c>
      <c r="L58" s="135" t="s">
        <v>175</v>
      </c>
      <c r="N58" s="44"/>
      <c r="Q58" s="109"/>
      <c r="S58" s="130"/>
      <c r="T58" s="117">
        <v>-0.5</v>
      </c>
      <c r="U58" s="118">
        <f t="shared" ca="1" si="9"/>
        <v>1.4049040033059452</v>
      </c>
      <c r="V58" s="119">
        <f t="shared" ca="1" si="10"/>
        <v>1.2870521256582206</v>
      </c>
    </row>
    <row r="59" spans="2:22" x14ac:dyDescent="0.25">
      <c r="B59" s="77"/>
      <c r="C59" s="110"/>
      <c r="N59" s="44"/>
      <c r="T59" s="117">
        <v>-0.4</v>
      </c>
      <c r="U59" s="118">
        <f t="shared" ca="1" si="9"/>
        <v>1.4322583986521513</v>
      </c>
      <c r="V59" s="119">
        <f t="shared" ca="1" si="10"/>
        <v>1.3462923805932334</v>
      </c>
    </row>
    <row r="60" spans="2:22" x14ac:dyDescent="0.25">
      <c r="B60" s="77"/>
      <c r="C60" s="92" t="s">
        <v>92</v>
      </c>
      <c r="D60" s="51">
        <f ca="1">K57+K58</f>
        <v>3.0551159219049606E-2</v>
      </c>
      <c r="F60" s="92" t="s">
        <v>86</v>
      </c>
      <c r="G60" s="131">
        <f ca="1">SQRT(D60)/SQRT(D62)</f>
        <v>0.99322475087943574</v>
      </c>
      <c r="H60" s="132"/>
      <c r="J60" s="71" t="s">
        <v>122</v>
      </c>
      <c r="K60" s="51">
        <f ca="1">(M5-M4)/(6*SQRT(K58))</f>
        <v>3.3996319177595309</v>
      </c>
      <c r="L60" s="41" t="s">
        <v>125</v>
      </c>
      <c r="M60" s="71" t="s">
        <v>177</v>
      </c>
      <c r="N60" s="44"/>
      <c r="T60" s="117">
        <v>-0.3</v>
      </c>
      <c r="U60" s="118">
        <f t="shared" ca="1" si="9"/>
        <v>1.4596127939983574</v>
      </c>
      <c r="V60" s="119">
        <f t="shared" ca="1" si="10"/>
        <v>1.3942469231491157</v>
      </c>
    </row>
    <row r="61" spans="2:22" x14ac:dyDescent="0.25">
      <c r="B61" s="77"/>
      <c r="J61" s="71" t="s">
        <v>123</v>
      </c>
      <c r="K61" s="99">
        <f ca="1">SQRT(D60)/((M5-M4)/6)</f>
        <v>0.34957779803099398</v>
      </c>
      <c r="L61" s="41" t="s">
        <v>176</v>
      </c>
      <c r="M61" s="91">
        <f ca="1">(M5-M4)/(6*SQRT(I53))</f>
        <v>1.8278598143802376</v>
      </c>
      <c r="N61" s="44" t="s">
        <v>178</v>
      </c>
      <c r="T61" s="117">
        <v>-0.2</v>
      </c>
      <c r="U61" s="118">
        <f t="shared" ca="1" si="9"/>
        <v>1.4869671893445637</v>
      </c>
      <c r="V61" s="119">
        <f t="shared" ca="1" si="10"/>
        <v>1.42954245204945</v>
      </c>
    </row>
    <row r="62" spans="2:22" x14ac:dyDescent="0.25">
      <c r="B62" s="77"/>
      <c r="C62" s="92" t="s">
        <v>93</v>
      </c>
      <c r="D62" s="51">
        <f ca="1">K56+K57+K58</f>
        <v>3.0969388241121942E-2</v>
      </c>
      <c r="F62" s="94" t="s">
        <v>95</v>
      </c>
      <c r="G62" s="95" t="s">
        <v>96</v>
      </c>
      <c r="H62" s="133" t="s">
        <v>97</v>
      </c>
      <c r="J62" s="98" t="s">
        <v>124</v>
      </c>
      <c r="K62" s="98"/>
      <c r="N62" s="44"/>
      <c r="T62" s="117">
        <v>-0.1</v>
      </c>
      <c r="U62" s="118">
        <f t="shared" ca="1" si="9"/>
        <v>1.5143215846907698</v>
      </c>
      <c r="V62" s="119">
        <f t="shared" ca="1" si="10"/>
        <v>1.4511472194981865</v>
      </c>
    </row>
    <row r="63" spans="2:22" ht="15.75" thickBot="1" x14ac:dyDescent="0.3">
      <c r="B63" s="83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6"/>
      <c r="T63" s="117">
        <v>0</v>
      </c>
      <c r="U63" s="118">
        <f t="shared" ca="1" si="9"/>
        <v>1.5416759800369759</v>
      </c>
      <c r="V63" s="119">
        <f t="shared" ca="1" si="10"/>
        <v>1.4584211252059829</v>
      </c>
    </row>
    <row r="64" spans="2:22" x14ac:dyDescent="0.25">
      <c r="B64" s="41" t="s">
        <v>79</v>
      </c>
      <c r="N64" s="41" t="s">
        <v>172</v>
      </c>
      <c r="T64" s="117">
        <v>0.1</v>
      </c>
      <c r="U64" s="118">
        <f t="shared" ca="1" si="9"/>
        <v>1.569030375383182</v>
      </c>
      <c r="V64" s="119">
        <f t="shared" ca="1" si="10"/>
        <v>1.4511472194981865</v>
      </c>
    </row>
    <row r="65" spans="14:22" x14ac:dyDescent="0.25">
      <c r="N65" s="134">
        <v>45962</v>
      </c>
      <c r="T65" s="117">
        <v>0.2</v>
      </c>
      <c r="U65" s="118">
        <f t="shared" ca="1" si="9"/>
        <v>1.5963847707293881</v>
      </c>
      <c r="V65" s="119">
        <f t="shared" ca="1" si="10"/>
        <v>1.42954245204945</v>
      </c>
    </row>
    <row r="66" spans="14:22" x14ac:dyDescent="0.25">
      <c r="T66" s="117">
        <v>0.3</v>
      </c>
      <c r="U66" s="118">
        <f t="shared" ca="1" si="9"/>
        <v>1.6237391660755944</v>
      </c>
      <c r="V66" s="119">
        <f t="shared" ca="1" si="10"/>
        <v>1.3942469231491157</v>
      </c>
    </row>
    <row r="67" spans="14:22" x14ac:dyDescent="0.25">
      <c r="T67" s="117">
        <v>0.4</v>
      </c>
      <c r="U67" s="118">
        <f t="shared" ca="1" si="9"/>
        <v>1.6510935614218005</v>
      </c>
      <c r="V67" s="119">
        <f t="shared" ca="1" si="10"/>
        <v>1.3462923805932334</v>
      </c>
    </row>
    <row r="68" spans="14:22" x14ac:dyDescent="0.25">
      <c r="T68" s="117">
        <v>0.5</v>
      </c>
      <c r="U68" s="118">
        <f t="shared" ca="1" si="9"/>
        <v>1.6784479567680066</v>
      </c>
      <c r="V68" s="119">
        <f t="shared" ca="1" si="10"/>
        <v>1.2870521256582206</v>
      </c>
    </row>
    <row r="69" spans="14:22" x14ac:dyDescent="0.25">
      <c r="T69" s="117">
        <v>0.6</v>
      </c>
      <c r="U69" s="118">
        <f t="shared" ca="1" si="9"/>
        <v>1.7058023521142127</v>
      </c>
      <c r="V69" s="119">
        <f t="shared" ca="1" si="10"/>
        <v>1.2181757215774669</v>
      </c>
    </row>
    <row r="70" spans="14:22" x14ac:dyDescent="0.25">
      <c r="T70" s="117">
        <v>0.7</v>
      </c>
      <c r="U70" s="118">
        <f t="shared" ca="1" si="9"/>
        <v>1.733156747460419</v>
      </c>
      <c r="V70" s="119">
        <f t="shared" ca="1" si="10"/>
        <v>1.1415128333665343</v>
      </c>
    </row>
    <row r="71" spans="14:22" x14ac:dyDescent="0.25">
      <c r="T71" s="117">
        <v>0.8</v>
      </c>
      <c r="U71" s="118">
        <f t="shared" ca="1" si="9"/>
        <v>1.7605111428066251</v>
      </c>
      <c r="V71" s="119">
        <f t="shared" ca="1" si="10"/>
        <v>1.0590310957162532</v>
      </c>
    </row>
    <row r="72" spans="14:22" x14ac:dyDescent="0.25">
      <c r="T72" s="117">
        <v>0.9</v>
      </c>
      <c r="U72" s="118">
        <f t="shared" ca="1" si="9"/>
        <v>1.7878655381528312</v>
      </c>
      <c r="V72" s="119">
        <f t="shared" ca="1" si="10"/>
        <v>0.97273307097851425</v>
      </c>
    </row>
    <row r="73" spans="14:22" x14ac:dyDescent="0.25">
      <c r="T73" s="117">
        <v>1</v>
      </c>
      <c r="U73" s="118">
        <f t="shared" ca="1" si="9"/>
        <v>1.8152199334990373</v>
      </c>
      <c r="V73" s="119">
        <f t="shared" ca="1" si="10"/>
        <v>0.88457712721002613</v>
      </c>
    </row>
    <row r="74" spans="14:22" x14ac:dyDescent="0.25">
      <c r="T74" s="117">
        <v>1.1000000000000001</v>
      </c>
      <c r="U74" s="118">
        <f t="shared" ca="1" si="9"/>
        <v>1.8425743288452434</v>
      </c>
      <c r="V74" s="119">
        <f t="shared" ca="1" si="10"/>
        <v>0.79640647974609724</v>
      </c>
    </row>
    <row r="75" spans="14:22" x14ac:dyDescent="0.25">
      <c r="T75" s="117">
        <v>1.2</v>
      </c>
      <c r="U75" s="118">
        <f t="shared" ca="1" si="9"/>
        <v>1.8699287241914497</v>
      </c>
      <c r="V75" s="119">
        <f t="shared" ca="1" si="10"/>
        <v>0.70988977283369237</v>
      </c>
    </row>
    <row r="76" spans="14:22" x14ac:dyDescent="0.25">
      <c r="T76" s="117">
        <v>1.3</v>
      </c>
      <c r="U76" s="118">
        <f t="shared" ca="1" si="9"/>
        <v>1.8972831195376558</v>
      </c>
      <c r="V76" s="119">
        <f t="shared" ca="1" si="10"/>
        <v>0.62647552570221554</v>
      </c>
    </row>
    <row r="77" spans="14:22" x14ac:dyDescent="0.25">
      <c r="T77" s="117">
        <v>1.4</v>
      </c>
      <c r="U77" s="118">
        <f t="shared" ca="1" si="9"/>
        <v>1.9246375148838619</v>
      </c>
      <c r="V77" s="119">
        <f t="shared" ca="1" si="10"/>
        <v>0.54736163508915203</v>
      </c>
    </row>
    <row r="78" spans="14:22" x14ac:dyDescent="0.25">
      <c r="T78" s="117">
        <v>1.5</v>
      </c>
      <c r="U78" s="118">
        <f t="shared" ca="1" si="9"/>
        <v>1.9519919102300682</v>
      </c>
      <c r="V78" s="119">
        <f t="shared" ca="1" si="10"/>
        <v>0.4734800167456627</v>
      </c>
    </row>
    <row r="79" spans="14:22" x14ac:dyDescent="0.25">
      <c r="T79" s="117">
        <v>1.6</v>
      </c>
      <c r="U79" s="118">
        <f t="shared" ca="1" si="9"/>
        <v>1.9793463055762743</v>
      </c>
      <c r="V79" s="119">
        <f t="shared" ca="1" si="10"/>
        <v>0.40549547257618118</v>
      </c>
    </row>
    <row r="80" spans="14:22" x14ac:dyDescent="0.25">
      <c r="T80" s="117">
        <v>1.7</v>
      </c>
      <c r="U80" s="118">
        <f t="shared" ca="1" si="9"/>
        <v>2.0067007009224804</v>
      </c>
      <c r="V80" s="119">
        <f t="shared" ca="1" si="10"/>
        <v>0.34381705823349823</v>
      </c>
    </row>
    <row r="81" spans="20:22" x14ac:dyDescent="0.25">
      <c r="T81" s="117">
        <v>1.8</v>
      </c>
      <c r="U81" s="118">
        <f t="shared" ca="1" si="9"/>
        <v>2.0340550962686867</v>
      </c>
      <c r="V81" s="119">
        <f t="shared" ca="1" si="10"/>
        <v>0.28861964339432522</v>
      </c>
    </row>
    <row r="82" spans="20:22" x14ac:dyDescent="0.25">
      <c r="T82" s="117">
        <v>1.9</v>
      </c>
      <c r="U82" s="118">
        <f t="shared" ca="1" si="9"/>
        <v>2.0614094916148926</v>
      </c>
      <c r="V82" s="119">
        <f t="shared" ca="1" si="10"/>
        <v>0.23987302202889693</v>
      </c>
    </row>
    <row r="83" spans="20:22" x14ac:dyDescent="0.25">
      <c r="T83" s="117">
        <v>2</v>
      </c>
      <c r="U83" s="118">
        <f t="shared" ca="1" si="9"/>
        <v>2.0887638869610989</v>
      </c>
      <c r="V83" s="119">
        <f t="shared" ca="1" si="10"/>
        <v>0.1973758360580109</v>
      </c>
    </row>
    <row r="84" spans="20:22" x14ac:dyDescent="0.25">
      <c r="T84" s="117">
        <v>2.1</v>
      </c>
      <c r="U84" s="118">
        <f t="shared" ca="1" si="9"/>
        <v>2.1161182823073048</v>
      </c>
      <c r="V84" s="119">
        <f t="shared" ca="1" si="10"/>
        <v>0.16079169516911831</v>
      </c>
    </row>
    <row r="85" spans="20:22" x14ac:dyDescent="0.25">
      <c r="T85" s="117">
        <v>2.2000000000000002</v>
      </c>
      <c r="U85" s="118">
        <f t="shared" ca="1" si="9"/>
        <v>2.1434726776535111</v>
      </c>
      <c r="V85" s="119">
        <f t="shared" ca="1" si="10"/>
        <v>0.12968516539025415</v>
      </c>
    </row>
    <row r="86" spans="20:22" x14ac:dyDescent="0.25">
      <c r="T86" s="117">
        <v>2.2999999999999998</v>
      </c>
      <c r="U86" s="118">
        <f t="shared" ca="1" si="9"/>
        <v>2.1708270729997174</v>
      </c>
      <c r="V86" s="119">
        <f t="shared" ca="1" si="10"/>
        <v>0.10355570789661002</v>
      </c>
    </row>
    <row r="87" spans="20:22" x14ac:dyDescent="0.25">
      <c r="T87" s="117">
        <v>2.4</v>
      </c>
      <c r="U87" s="118">
        <f t="shared" ca="1" si="9"/>
        <v>2.1981814683459233</v>
      </c>
      <c r="V87" s="119">
        <f t="shared" ca="1" si="10"/>
        <v>8.1868123975728416E-2</v>
      </c>
    </row>
    <row r="88" spans="20:22" x14ac:dyDescent="0.25">
      <c r="T88" s="117">
        <v>2.5000000000000102</v>
      </c>
      <c r="U88" s="118">
        <f t="shared" ca="1" si="9"/>
        <v>2.2255358636921323</v>
      </c>
      <c r="V88" s="119">
        <f t="shared" ca="1" si="10"/>
        <v>6.407855217314877E-2</v>
      </c>
    </row>
    <row r="89" spans="20:22" x14ac:dyDescent="0.25">
      <c r="T89" s="117">
        <v>2.6</v>
      </c>
      <c r="U89" s="118">
        <f t="shared" ca="1" si="9"/>
        <v>2.2528902590383355</v>
      </c>
      <c r="V89" s="119">
        <f t="shared" ca="1" si="10"/>
        <v>4.9655527244434242E-2</v>
      </c>
    </row>
    <row r="90" spans="20:22" x14ac:dyDescent="0.25">
      <c r="T90" s="117">
        <v>2.7</v>
      </c>
      <c r="U90" s="118">
        <f t="shared" ca="1" si="9"/>
        <v>2.2802446543845418</v>
      </c>
      <c r="V90" s="119">
        <f t="shared" ca="1" si="10"/>
        <v>3.8096015951118112E-2</v>
      </c>
    </row>
    <row r="91" spans="20:22" x14ac:dyDescent="0.25">
      <c r="T91" s="117">
        <v>2.80000000000001</v>
      </c>
      <c r="U91" s="118">
        <f t="shared" ca="1" si="9"/>
        <v>2.3075990497307508</v>
      </c>
      <c r="V91" s="119">
        <f t="shared" ca="1" si="10"/>
        <v>2.8936671722402184E-2</v>
      </c>
    </row>
    <row r="92" spans="20:22" x14ac:dyDescent="0.25">
      <c r="T92" s="117">
        <v>2.9000000000000101</v>
      </c>
      <c r="U92" s="118">
        <f t="shared" ca="1" si="9"/>
        <v>2.3349534450769571</v>
      </c>
      <c r="V92" s="119">
        <f t="shared" ca="1" si="10"/>
        <v>2.1760789607806981E-2</v>
      </c>
    </row>
    <row r="93" spans="20:22" x14ac:dyDescent="0.25">
      <c r="T93" s="117">
        <v>3.0000000000000102</v>
      </c>
      <c r="U93" s="118">
        <f t="shared" ca="1" si="9"/>
        <v>2.362307840423163</v>
      </c>
      <c r="V93" s="119">
        <f t="shared" ca="1" si="10"/>
        <v>1.6201595231212243E-2</v>
      </c>
    </row>
  </sheetData>
  <protectedRanges>
    <protectedRange sqref="G5:G10 H5:H6 M4:M5 D4:E6 H8:H9 H11:H12 G14:G19 G23:G28 H14:H15 H17:H18 H23:H24 H26:H27 H29:H30 H20:H21 I5:J31" name="Plage1"/>
  </protectedRanges>
  <mergeCells count="25">
    <mergeCell ref="C51:F51"/>
    <mergeCell ref="G51:K51"/>
    <mergeCell ref="G23:G31"/>
    <mergeCell ref="H23:H25"/>
    <mergeCell ref="K23:K25"/>
    <mergeCell ref="H26:H28"/>
    <mergeCell ref="K26:K28"/>
    <mergeCell ref="H29:H31"/>
    <mergeCell ref="K29:K31"/>
    <mergeCell ref="G14:G22"/>
    <mergeCell ref="H14:H16"/>
    <mergeCell ref="K14:K16"/>
    <mergeCell ref="H17:H19"/>
    <mergeCell ref="K17:K19"/>
    <mergeCell ref="H20:H22"/>
    <mergeCell ref="K20:K22"/>
    <mergeCell ref="C3:E3"/>
    <mergeCell ref="G3:J3"/>
    <mergeCell ref="G5:G13"/>
    <mergeCell ref="H5:H7"/>
    <mergeCell ref="K5:K7"/>
    <mergeCell ref="H8:H10"/>
    <mergeCell ref="K8:K10"/>
    <mergeCell ref="H11:H13"/>
    <mergeCell ref="K11:K13"/>
  </mergeCells>
  <conditionalFormatting sqref="G60">
    <cfRule type="cellIs" dxfId="6" priority="1" operator="greaterThan">
      <formula>0.3</formula>
    </cfRule>
    <cfRule type="cellIs" dxfId="5" priority="2" operator="between">
      <formula>0.1</formula>
      <formula>0.3</formula>
    </cfRule>
    <cfRule type="cellIs" dxfId="4" priority="3" operator="lessThan">
      <formula>0.1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9C8F-2053-41B1-9064-735BDA55BE8A}">
  <dimension ref="B2:Z34"/>
  <sheetViews>
    <sheetView showGridLines="0" zoomScale="85" zoomScaleNormal="85" workbookViewId="0">
      <selection activeCell="O48" sqref="O48"/>
    </sheetView>
  </sheetViews>
  <sheetFormatPr baseColWidth="10" defaultColWidth="11.42578125" defaultRowHeight="12.75" x14ac:dyDescent="0.2"/>
  <cols>
    <col min="1" max="3" width="11.42578125" style="176"/>
    <col min="4" max="4" width="12.5703125" style="176" customWidth="1"/>
    <col min="5" max="5" width="12.7109375" style="176" customWidth="1"/>
    <col min="6" max="6" width="11.42578125" style="176"/>
    <col min="7" max="7" width="12.28515625" style="176" customWidth="1"/>
    <col min="8" max="8" width="11.42578125" style="176"/>
    <col min="9" max="9" width="12" style="176" bestFit="1" customWidth="1"/>
    <col min="10" max="10" width="11.5703125" style="176" bestFit="1" customWidth="1"/>
    <col min="11" max="11" width="11.42578125" style="176"/>
    <col min="12" max="12" width="11.5703125" style="176" customWidth="1"/>
    <col min="13" max="13" width="7.85546875" style="176" customWidth="1"/>
    <col min="14" max="14" width="10.85546875" style="176" customWidth="1"/>
    <col min="15" max="15" width="11.5703125" style="176" customWidth="1"/>
    <col min="16" max="16" width="8.28515625" style="176" customWidth="1"/>
    <col min="17" max="17" width="7.85546875" style="176" customWidth="1"/>
    <col min="18" max="18" width="8.7109375" style="176" customWidth="1"/>
    <col min="19" max="19" width="9.28515625" style="176" customWidth="1"/>
    <col min="20" max="21" width="10.140625" style="176" customWidth="1"/>
    <col min="22" max="22" width="11.42578125" style="176"/>
    <col min="23" max="23" width="12.42578125" style="176" bestFit="1" customWidth="1"/>
    <col min="24" max="258" width="11.42578125" style="176"/>
    <col min="259" max="259" width="11.5703125" style="176" bestFit="1" customWidth="1"/>
    <col min="260" max="514" width="11.42578125" style="176"/>
    <col min="515" max="515" width="11.5703125" style="176" bestFit="1" customWidth="1"/>
    <col min="516" max="770" width="11.42578125" style="176"/>
    <col min="771" max="771" width="11.5703125" style="176" bestFit="1" customWidth="1"/>
    <col min="772" max="1026" width="11.42578125" style="176"/>
    <col min="1027" max="1027" width="11.5703125" style="176" bestFit="1" customWidth="1"/>
    <col min="1028" max="1282" width="11.42578125" style="176"/>
    <col min="1283" max="1283" width="11.5703125" style="176" bestFit="1" customWidth="1"/>
    <col min="1284" max="1538" width="11.42578125" style="176"/>
    <col min="1539" max="1539" width="11.5703125" style="176" bestFit="1" customWidth="1"/>
    <col min="1540" max="1794" width="11.42578125" style="176"/>
    <col min="1795" max="1795" width="11.5703125" style="176" bestFit="1" customWidth="1"/>
    <col min="1796" max="2050" width="11.42578125" style="176"/>
    <col min="2051" max="2051" width="11.5703125" style="176" bestFit="1" customWidth="1"/>
    <col min="2052" max="2306" width="11.42578125" style="176"/>
    <col min="2307" max="2307" width="11.5703125" style="176" bestFit="1" customWidth="1"/>
    <col min="2308" max="2562" width="11.42578125" style="176"/>
    <col min="2563" max="2563" width="11.5703125" style="176" bestFit="1" customWidth="1"/>
    <col min="2564" max="2818" width="11.42578125" style="176"/>
    <col min="2819" max="2819" width="11.5703125" style="176" bestFit="1" customWidth="1"/>
    <col min="2820" max="3074" width="11.42578125" style="176"/>
    <col min="3075" max="3075" width="11.5703125" style="176" bestFit="1" customWidth="1"/>
    <col min="3076" max="3330" width="11.42578125" style="176"/>
    <col min="3331" max="3331" width="11.5703125" style="176" bestFit="1" customWidth="1"/>
    <col min="3332" max="3586" width="11.42578125" style="176"/>
    <col min="3587" max="3587" width="11.5703125" style="176" bestFit="1" customWidth="1"/>
    <col min="3588" max="3842" width="11.42578125" style="176"/>
    <col min="3843" max="3843" width="11.5703125" style="176" bestFit="1" customWidth="1"/>
    <col min="3844" max="4098" width="11.42578125" style="176"/>
    <col min="4099" max="4099" width="11.5703125" style="176" bestFit="1" customWidth="1"/>
    <col min="4100" max="4354" width="11.42578125" style="176"/>
    <col min="4355" max="4355" width="11.5703125" style="176" bestFit="1" customWidth="1"/>
    <col min="4356" max="4610" width="11.42578125" style="176"/>
    <col min="4611" max="4611" width="11.5703125" style="176" bestFit="1" customWidth="1"/>
    <col min="4612" max="4866" width="11.42578125" style="176"/>
    <col min="4867" max="4867" width="11.5703125" style="176" bestFit="1" customWidth="1"/>
    <col min="4868" max="5122" width="11.42578125" style="176"/>
    <col min="5123" max="5123" width="11.5703125" style="176" bestFit="1" customWidth="1"/>
    <col min="5124" max="5378" width="11.42578125" style="176"/>
    <col min="5379" max="5379" width="11.5703125" style="176" bestFit="1" customWidth="1"/>
    <col min="5380" max="5634" width="11.42578125" style="176"/>
    <col min="5635" max="5635" width="11.5703125" style="176" bestFit="1" customWidth="1"/>
    <col min="5636" max="5890" width="11.42578125" style="176"/>
    <col min="5891" max="5891" width="11.5703125" style="176" bestFit="1" customWidth="1"/>
    <col min="5892" max="6146" width="11.42578125" style="176"/>
    <col min="6147" max="6147" width="11.5703125" style="176" bestFit="1" customWidth="1"/>
    <col min="6148" max="6402" width="11.42578125" style="176"/>
    <col min="6403" max="6403" width="11.5703125" style="176" bestFit="1" customWidth="1"/>
    <col min="6404" max="6658" width="11.42578125" style="176"/>
    <col min="6659" max="6659" width="11.5703125" style="176" bestFit="1" customWidth="1"/>
    <col min="6660" max="6914" width="11.42578125" style="176"/>
    <col min="6915" max="6915" width="11.5703125" style="176" bestFit="1" customWidth="1"/>
    <col min="6916" max="7170" width="11.42578125" style="176"/>
    <col min="7171" max="7171" width="11.5703125" style="176" bestFit="1" customWidth="1"/>
    <col min="7172" max="7426" width="11.42578125" style="176"/>
    <col min="7427" max="7427" width="11.5703125" style="176" bestFit="1" customWidth="1"/>
    <col min="7428" max="7682" width="11.42578125" style="176"/>
    <col min="7683" max="7683" width="11.5703125" style="176" bestFit="1" customWidth="1"/>
    <col min="7684" max="7938" width="11.42578125" style="176"/>
    <col min="7939" max="7939" width="11.5703125" style="176" bestFit="1" customWidth="1"/>
    <col min="7940" max="8194" width="11.42578125" style="176"/>
    <col min="8195" max="8195" width="11.5703125" style="176" bestFit="1" customWidth="1"/>
    <col min="8196" max="8450" width="11.42578125" style="176"/>
    <col min="8451" max="8451" width="11.5703125" style="176" bestFit="1" customWidth="1"/>
    <col min="8452" max="8706" width="11.42578125" style="176"/>
    <col min="8707" max="8707" width="11.5703125" style="176" bestFit="1" customWidth="1"/>
    <col min="8708" max="8962" width="11.42578125" style="176"/>
    <col min="8963" max="8963" width="11.5703125" style="176" bestFit="1" customWidth="1"/>
    <col min="8964" max="9218" width="11.42578125" style="176"/>
    <col min="9219" max="9219" width="11.5703125" style="176" bestFit="1" customWidth="1"/>
    <col min="9220" max="9474" width="11.42578125" style="176"/>
    <col min="9475" max="9475" width="11.5703125" style="176" bestFit="1" customWidth="1"/>
    <col min="9476" max="9730" width="11.42578125" style="176"/>
    <col min="9731" max="9731" width="11.5703125" style="176" bestFit="1" customWidth="1"/>
    <col min="9732" max="9986" width="11.42578125" style="176"/>
    <col min="9987" max="9987" width="11.5703125" style="176" bestFit="1" customWidth="1"/>
    <col min="9988" max="10242" width="11.42578125" style="176"/>
    <col min="10243" max="10243" width="11.5703125" style="176" bestFit="1" customWidth="1"/>
    <col min="10244" max="10498" width="11.42578125" style="176"/>
    <col min="10499" max="10499" width="11.5703125" style="176" bestFit="1" customWidth="1"/>
    <col min="10500" max="10754" width="11.42578125" style="176"/>
    <col min="10755" max="10755" width="11.5703125" style="176" bestFit="1" customWidth="1"/>
    <col min="10756" max="11010" width="11.42578125" style="176"/>
    <col min="11011" max="11011" width="11.5703125" style="176" bestFit="1" customWidth="1"/>
    <col min="11012" max="11266" width="11.42578125" style="176"/>
    <col min="11267" max="11267" width="11.5703125" style="176" bestFit="1" customWidth="1"/>
    <col min="11268" max="11522" width="11.42578125" style="176"/>
    <col min="11523" max="11523" width="11.5703125" style="176" bestFit="1" customWidth="1"/>
    <col min="11524" max="11778" width="11.42578125" style="176"/>
    <col min="11779" max="11779" width="11.5703125" style="176" bestFit="1" customWidth="1"/>
    <col min="11780" max="12034" width="11.42578125" style="176"/>
    <col min="12035" max="12035" width="11.5703125" style="176" bestFit="1" customWidth="1"/>
    <col min="12036" max="12290" width="11.42578125" style="176"/>
    <col min="12291" max="12291" width="11.5703125" style="176" bestFit="1" customWidth="1"/>
    <col min="12292" max="12546" width="11.42578125" style="176"/>
    <col min="12547" max="12547" width="11.5703125" style="176" bestFit="1" customWidth="1"/>
    <col min="12548" max="12802" width="11.42578125" style="176"/>
    <col min="12803" max="12803" width="11.5703125" style="176" bestFit="1" customWidth="1"/>
    <col min="12804" max="13058" width="11.42578125" style="176"/>
    <col min="13059" max="13059" width="11.5703125" style="176" bestFit="1" customWidth="1"/>
    <col min="13060" max="13314" width="11.42578125" style="176"/>
    <col min="13315" max="13315" width="11.5703125" style="176" bestFit="1" customWidth="1"/>
    <col min="13316" max="13570" width="11.42578125" style="176"/>
    <col min="13571" max="13571" width="11.5703125" style="176" bestFit="1" customWidth="1"/>
    <col min="13572" max="13826" width="11.42578125" style="176"/>
    <col min="13827" max="13827" width="11.5703125" style="176" bestFit="1" customWidth="1"/>
    <col min="13828" max="14082" width="11.42578125" style="176"/>
    <col min="14083" max="14083" width="11.5703125" style="176" bestFit="1" customWidth="1"/>
    <col min="14084" max="14338" width="11.42578125" style="176"/>
    <col min="14339" max="14339" width="11.5703125" style="176" bestFit="1" customWidth="1"/>
    <col min="14340" max="14594" width="11.42578125" style="176"/>
    <col min="14595" max="14595" width="11.5703125" style="176" bestFit="1" customWidth="1"/>
    <col min="14596" max="14850" width="11.42578125" style="176"/>
    <col min="14851" max="14851" width="11.5703125" style="176" bestFit="1" customWidth="1"/>
    <col min="14852" max="15106" width="11.42578125" style="176"/>
    <col min="15107" max="15107" width="11.5703125" style="176" bestFit="1" customWidth="1"/>
    <col min="15108" max="15362" width="11.42578125" style="176"/>
    <col min="15363" max="15363" width="11.5703125" style="176" bestFit="1" customWidth="1"/>
    <col min="15364" max="15618" width="11.42578125" style="176"/>
    <col min="15619" max="15619" width="11.5703125" style="176" bestFit="1" customWidth="1"/>
    <col min="15620" max="15874" width="11.42578125" style="176"/>
    <col min="15875" max="15875" width="11.5703125" style="176" bestFit="1" customWidth="1"/>
    <col min="15876" max="16130" width="11.42578125" style="176"/>
    <col min="16131" max="16131" width="11.5703125" style="176" bestFit="1" customWidth="1"/>
    <col min="16132" max="16384" width="11.42578125" style="176"/>
  </cols>
  <sheetData>
    <row r="2" spans="2:26" ht="24" thickBot="1" x14ac:dyDescent="0.4"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</row>
    <row r="3" spans="2:26" ht="15" customHeight="1" x14ac:dyDescent="0.35">
      <c r="B3" s="177"/>
      <c r="C3" s="178" t="s">
        <v>204</v>
      </c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80"/>
      <c r="O3" s="180"/>
      <c r="P3" s="180"/>
      <c r="Q3" s="180"/>
      <c r="R3" s="180"/>
      <c r="S3" s="180"/>
      <c r="T3" s="180"/>
      <c r="U3" s="180"/>
      <c r="V3" s="181"/>
    </row>
    <row r="4" spans="2:26" ht="14.25" customHeight="1" x14ac:dyDescent="0.2">
      <c r="B4" s="182"/>
      <c r="C4" s="298" t="s">
        <v>205</v>
      </c>
      <c r="D4" s="299"/>
      <c r="E4" s="299"/>
      <c r="F4" s="299"/>
      <c r="G4" s="299"/>
      <c r="H4" s="299"/>
      <c r="I4" s="299"/>
      <c r="J4" s="300"/>
      <c r="K4" s="183"/>
      <c r="L4" s="183"/>
      <c r="M4" s="184"/>
      <c r="V4" s="185"/>
    </row>
    <row r="5" spans="2:26" ht="15.75" customHeight="1" x14ac:dyDescent="0.25">
      <c r="B5" s="182"/>
      <c r="C5" s="186" t="s">
        <v>191</v>
      </c>
      <c r="D5" s="186" t="s">
        <v>192</v>
      </c>
      <c r="E5" s="186" t="s">
        <v>193</v>
      </c>
      <c r="F5" s="301" t="s">
        <v>206</v>
      </c>
      <c r="G5" s="301"/>
      <c r="H5" s="301"/>
      <c r="I5" s="301"/>
      <c r="J5" s="186" t="s">
        <v>207</v>
      </c>
      <c r="K5" s="187"/>
      <c r="L5" s="302" t="s">
        <v>208</v>
      </c>
      <c r="M5" s="303"/>
      <c r="N5" s="304"/>
      <c r="O5" s="152"/>
      <c r="P5" s="302" t="s">
        <v>209</v>
      </c>
      <c r="Q5" s="303"/>
      <c r="R5" s="303"/>
      <c r="S5" s="303"/>
      <c r="T5" s="303"/>
      <c r="U5" s="304"/>
      <c r="V5" s="185"/>
    </row>
    <row r="6" spans="2:26" ht="15" x14ac:dyDescent="0.25">
      <c r="B6" s="182"/>
      <c r="C6" s="296" t="s">
        <v>210</v>
      </c>
      <c r="D6" s="296" t="s">
        <v>211</v>
      </c>
      <c r="E6" s="188" t="s">
        <v>212</v>
      </c>
      <c r="F6" s="189">
        <v>101</v>
      </c>
      <c r="G6" s="189">
        <v>101</v>
      </c>
      <c r="H6" s="189">
        <v>101</v>
      </c>
      <c r="I6" s="189">
        <f ca="1">H6+RAND()</f>
        <v>101.69125197980746</v>
      </c>
      <c r="J6" s="190">
        <f ca="1">SUM(F6:I6)</f>
        <v>404.69125197980748</v>
      </c>
      <c r="K6" s="191">
        <f ca="1">DEVSQ(F6:I6)</f>
        <v>0.35837197469080107</v>
      </c>
      <c r="L6" s="192" t="s">
        <v>0</v>
      </c>
      <c r="M6" s="192" t="s">
        <v>1</v>
      </c>
      <c r="N6" s="192" t="s">
        <v>6</v>
      </c>
      <c r="O6" s="192" t="s">
        <v>213</v>
      </c>
      <c r="P6" s="192" t="s">
        <v>2</v>
      </c>
      <c r="Q6" s="192" t="s">
        <v>3</v>
      </c>
      <c r="R6" s="192" t="s">
        <v>4</v>
      </c>
      <c r="S6" s="192" t="s">
        <v>214</v>
      </c>
      <c r="T6" s="192" t="s">
        <v>215</v>
      </c>
      <c r="U6" s="193" t="s">
        <v>216</v>
      </c>
      <c r="V6" s="185"/>
    </row>
    <row r="7" spans="2:26" ht="15" x14ac:dyDescent="0.25">
      <c r="B7" s="182"/>
      <c r="C7" s="296"/>
      <c r="D7" s="296"/>
      <c r="E7" s="188" t="s">
        <v>217</v>
      </c>
      <c r="F7" s="189">
        <v>101</v>
      </c>
      <c r="G7" s="189">
        <v>101</v>
      </c>
      <c r="H7" s="189">
        <v>101</v>
      </c>
      <c r="I7" s="189">
        <f t="shared" ref="I7:I32" ca="1" si="0">H7+RAND()</f>
        <v>101.04514366111532</v>
      </c>
      <c r="J7" s="190">
        <f ca="1">SUM(F7:I7)</f>
        <v>404.04514366111533</v>
      </c>
      <c r="K7" s="191">
        <f t="shared" ref="K7:K32" ca="1" si="1">DEVSQ(F7:I7)</f>
        <v>1.5284626041710343E-3</v>
      </c>
      <c r="L7" s="194" t="s">
        <v>9</v>
      </c>
      <c r="M7" s="194">
        <f ca="1">COUNT(F6:I32)</f>
        <v>108</v>
      </c>
      <c r="N7" s="195">
        <f ca="1">SUM(F6:I32)^2</f>
        <v>119282648.88890202</v>
      </c>
      <c r="O7" s="196">
        <f ca="1">N7/M7</f>
        <v>1104468.9711935373</v>
      </c>
      <c r="P7" s="197">
        <f ca="1">DEVSQ(F6:I32)</f>
        <v>771.97584549343958</v>
      </c>
      <c r="Q7" s="194">
        <f ca="1">M7-1</f>
        <v>107</v>
      </c>
      <c r="R7" s="196">
        <f t="shared" ref="R7:R12" ca="1" si="2">P7/Q7</f>
        <v>7.2147275279760708</v>
      </c>
      <c r="S7" s="194" t="s">
        <v>5</v>
      </c>
      <c r="T7" s="194" t="s">
        <v>5</v>
      </c>
      <c r="U7" s="198">
        <f ca="1">SUM(U9:U12)</f>
        <v>1</v>
      </c>
      <c r="V7" s="185"/>
    </row>
    <row r="8" spans="2:26" ht="15" x14ac:dyDescent="0.25">
      <c r="B8" s="182"/>
      <c r="C8" s="296"/>
      <c r="D8" s="296"/>
      <c r="E8" s="188" t="s">
        <v>218</v>
      </c>
      <c r="F8" s="189">
        <v>100</v>
      </c>
      <c r="G8" s="189">
        <v>100</v>
      </c>
      <c r="H8" s="189">
        <v>100</v>
      </c>
      <c r="I8" s="189">
        <f t="shared" ca="1" si="0"/>
        <v>100.33552319779432</v>
      </c>
      <c r="J8" s="190">
        <f t="shared" ref="J8:J32" ca="1" si="3">SUM(F8:I8)</f>
        <v>400.33552319779432</v>
      </c>
      <c r="K8" s="191">
        <f t="shared" ca="1" si="1"/>
        <v>8.4431862193592916E-2</v>
      </c>
      <c r="L8" s="194" t="s">
        <v>10</v>
      </c>
      <c r="M8" s="194" t="s">
        <v>5</v>
      </c>
      <c r="N8" s="199" t="s">
        <v>5</v>
      </c>
      <c r="O8" s="196" t="s">
        <v>5</v>
      </c>
      <c r="P8" s="196">
        <f ca="1">SUM(P10:P12)</f>
        <v>764.82619002019055</v>
      </c>
      <c r="Q8" s="200">
        <f>SUM(Q10:Q12)</f>
        <v>26</v>
      </c>
      <c r="R8" s="201">
        <f t="shared" ca="1" si="2"/>
        <v>29.416391923853482</v>
      </c>
      <c r="S8" s="201">
        <f ca="1">R8/R9</f>
        <v>333.264694326501</v>
      </c>
      <c r="T8" s="201">
        <f ca="1">FINV(0.05,Q8,$Q$9)</f>
        <v>1.632733624647269</v>
      </c>
      <c r="U8" s="202">
        <f ca="1">P8/$P$7</f>
        <v>0.99073849847118078</v>
      </c>
      <c r="V8" s="185"/>
      <c r="Y8" s="203"/>
      <c r="Z8" s="203"/>
    </row>
    <row r="9" spans="2:26" ht="15" x14ac:dyDescent="0.25">
      <c r="B9" s="182"/>
      <c r="C9" s="296"/>
      <c r="D9" s="296" t="s">
        <v>219</v>
      </c>
      <c r="E9" s="188" t="s">
        <v>212</v>
      </c>
      <c r="F9" s="189">
        <v>100</v>
      </c>
      <c r="G9" s="189">
        <v>100</v>
      </c>
      <c r="H9" s="189">
        <v>100</v>
      </c>
      <c r="I9" s="189">
        <f t="shared" ca="1" si="0"/>
        <v>100.98814869902121</v>
      </c>
      <c r="J9" s="190">
        <f t="shared" ca="1" si="3"/>
        <v>400.98814869902122</v>
      </c>
      <c r="K9" s="191">
        <f t="shared" ca="1" si="1"/>
        <v>0.73232838853298188</v>
      </c>
      <c r="L9" s="194" t="s">
        <v>170</v>
      </c>
      <c r="M9" s="194" t="s">
        <v>5</v>
      </c>
      <c r="N9" s="199" t="s">
        <v>5</v>
      </c>
      <c r="O9" s="196" t="s">
        <v>5</v>
      </c>
      <c r="P9" s="196">
        <f ca="1">P7-P8</f>
        <v>7.1496554732490267</v>
      </c>
      <c r="Q9" s="194">
        <f ca="1">Q7-SUM(Q10:Q12)</f>
        <v>81</v>
      </c>
      <c r="R9" s="196">
        <f t="shared" ca="1" si="2"/>
        <v>8.8267351521592929E-2</v>
      </c>
      <c r="S9" s="196" t="s">
        <v>5</v>
      </c>
      <c r="T9" s="194" t="s">
        <v>5</v>
      </c>
      <c r="U9" s="202">
        <f ca="1">P9/$P$7</f>
        <v>9.2615015288192541E-3</v>
      </c>
      <c r="V9" s="185"/>
      <c r="Y9" s="203"/>
      <c r="Z9" s="203"/>
    </row>
    <row r="10" spans="2:26" ht="15" x14ac:dyDescent="0.25">
      <c r="B10" s="182"/>
      <c r="C10" s="296"/>
      <c r="D10" s="296"/>
      <c r="E10" s="188" t="s">
        <v>217</v>
      </c>
      <c r="F10" s="189">
        <v>98</v>
      </c>
      <c r="G10" s="189">
        <v>98</v>
      </c>
      <c r="H10" s="189">
        <v>98</v>
      </c>
      <c r="I10" s="189">
        <f t="shared" ca="1" si="0"/>
        <v>98.016869994442544</v>
      </c>
      <c r="J10" s="190">
        <f t="shared" ca="1" si="3"/>
        <v>392.01686999444257</v>
      </c>
      <c r="K10" s="191">
        <f t="shared" ca="1" si="1"/>
        <v>2.134475343686019E-4</v>
      </c>
      <c r="L10" s="204" t="s">
        <v>191</v>
      </c>
      <c r="M10" s="204">
        <v>3</v>
      </c>
      <c r="N10" s="205">
        <f ca="1">SUM(F6:I14)^2+SUM(F15:I23)^2+SUM(F24:I32)^2</f>
        <v>39762312.89590507</v>
      </c>
      <c r="O10" s="206">
        <f ca="1">N10*M10/M7</f>
        <v>1104508.6915529186</v>
      </c>
      <c r="P10" s="206">
        <f ca="1">O10-O7</f>
        <v>39.72035938128829</v>
      </c>
      <c r="Q10" s="204">
        <f>M10-1</f>
        <v>2</v>
      </c>
      <c r="R10" s="206">
        <f t="shared" ca="1" si="2"/>
        <v>19.860179690644145</v>
      </c>
      <c r="S10" s="206">
        <f ca="1">R10/R11</f>
        <v>0.21110306441740101</v>
      </c>
      <c r="T10" s="206">
        <f>FINV(0.05,Q10,Q11)</f>
        <v>5.1432528497847176</v>
      </c>
      <c r="U10" s="207">
        <f ca="1">P10/$P$7</f>
        <v>5.1452852590095507E-2</v>
      </c>
      <c r="V10" s="185"/>
      <c r="Y10" s="203"/>
      <c r="Z10" s="203"/>
    </row>
    <row r="11" spans="2:26" ht="15" x14ac:dyDescent="0.25">
      <c r="B11" s="182"/>
      <c r="C11" s="296"/>
      <c r="D11" s="296"/>
      <c r="E11" s="188" t="s">
        <v>218</v>
      </c>
      <c r="F11" s="189">
        <v>105</v>
      </c>
      <c r="G11" s="189">
        <v>105</v>
      </c>
      <c r="H11" s="189">
        <v>105</v>
      </c>
      <c r="I11" s="189">
        <f t="shared" ca="1" si="0"/>
        <v>105.27369929576295</v>
      </c>
      <c r="J11" s="190">
        <f t="shared" ca="1" si="3"/>
        <v>420.27369929576298</v>
      </c>
      <c r="K11" s="191">
        <f t="shared" ca="1" si="1"/>
        <v>5.6183478375852108E-2</v>
      </c>
      <c r="L11" s="204" t="s">
        <v>220</v>
      </c>
      <c r="M11" s="204">
        <f>3*M10</f>
        <v>9</v>
      </c>
      <c r="N11" s="205">
        <f ca="1">SUM(F6:I8)^2+SUM(F9:I11)^2+SUM(F12:I14)^2+SUM(F15:I17)^2+SUM(F18:I20)^2+SUM(F21:I23)^2+SUM(F24:I26)^2+SUM(F27:I29)^2+SUM(F30:I32)^2</f>
        <v>13260877.92336507</v>
      </c>
      <c r="O11" s="206">
        <f ca="1">N11*M11/M7</f>
        <v>1105073.1602804225</v>
      </c>
      <c r="P11" s="206">
        <f ca="1">O11-O10</f>
        <v>564.46872750390321</v>
      </c>
      <c r="Q11" s="204">
        <f>M11-M10</f>
        <v>6</v>
      </c>
      <c r="R11" s="206">
        <f t="shared" ca="1" si="2"/>
        <v>94.07812125065054</v>
      </c>
      <c r="S11" s="206">
        <f ca="1">R11/R12</f>
        <v>10.541812255469866</v>
      </c>
      <c r="T11" s="206">
        <f>FINV(0.05,Q11,Q12)</f>
        <v>2.6613045229279009</v>
      </c>
      <c r="U11" s="207">
        <f ca="1">P11/$P$7</f>
        <v>0.73119998611238957</v>
      </c>
      <c r="V11" s="185"/>
      <c r="Y11" s="203"/>
      <c r="Z11" s="203"/>
    </row>
    <row r="12" spans="2:26" ht="15" x14ac:dyDescent="0.25">
      <c r="B12" s="182"/>
      <c r="C12" s="296"/>
      <c r="D12" s="296" t="s">
        <v>221</v>
      </c>
      <c r="E12" s="188" t="s">
        <v>212</v>
      </c>
      <c r="F12" s="189">
        <v>105</v>
      </c>
      <c r="G12" s="189">
        <v>105</v>
      </c>
      <c r="H12" s="189">
        <v>105</v>
      </c>
      <c r="I12" s="189">
        <f t="shared" ca="1" si="0"/>
        <v>105.37936821433598</v>
      </c>
      <c r="J12" s="190">
        <f t="shared" ca="1" si="3"/>
        <v>420.37936821433595</v>
      </c>
      <c r="K12" s="191">
        <f t="shared" ca="1" si="1"/>
        <v>0.10794018153635432</v>
      </c>
      <c r="L12" s="204" t="s">
        <v>222</v>
      </c>
      <c r="M12" s="204">
        <f>3*M11</f>
        <v>27</v>
      </c>
      <c r="N12" s="208">
        <f ca="1">SUMSQ(J6:J32)</f>
        <v>4420935.1895342302</v>
      </c>
      <c r="O12" s="206">
        <f ca="1">N12*M12/M7</f>
        <v>1105233.7973835575</v>
      </c>
      <c r="P12" s="206">
        <f ca="1">O12-O11</f>
        <v>160.63710313499905</v>
      </c>
      <c r="Q12" s="204">
        <f>M12-M11</f>
        <v>18</v>
      </c>
      <c r="R12" s="206">
        <f t="shared" ca="1" si="2"/>
        <v>8.9242835074999469</v>
      </c>
      <c r="S12" s="206">
        <f ca="1">R12/R9</f>
        <v>101.10514650840963</v>
      </c>
      <c r="T12" s="206">
        <f ca="1">FINV(0.05,Q12,Q9)</f>
        <v>1.7326074427215699</v>
      </c>
      <c r="U12" s="207">
        <f ca="1">P12/$P$7</f>
        <v>0.20808565976869567</v>
      </c>
      <c r="V12" s="185"/>
      <c r="Y12" s="203"/>
      <c r="Z12" s="203"/>
    </row>
    <row r="13" spans="2:26" x14ac:dyDescent="0.2">
      <c r="B13" s="182"/>
      <c r="C13" s="296"/>
      <c r="D13" s="296"/>
      <c r="E13" s="188" t="s">
        <v>217</v>
      </c>
      <c r="F13" s="189">
        <v>103</v>
      </c>
      <c r="G13" s="189">
        <v>103</v>
      </c>
      <c r="H13" s="189">
        <v>103</v>
      </c>
      <c r="I13" s="189">
        <f t="shared" ca="1" si="0"/>
        <v>103.0043023234916</v>
      </c>
      <c r="J13" s="190">
        <f t="shared" ca="1" si="3"/>
        <v>412.00430232349163</v>
      </c>
      <c r="K13" s="191">
        <f t="shared" ca="1" si="1"/>
        <v>1.3882490569784079E-5</v>
      </c>
      <c r="L13" s="184"/>
      <c r="M13" s="209"/>
      <c r="V13" s="185"/>
    </row>
    <row r="14" spans="2:26" ht="15" x14ac:dyDescent="0.25">
      <c r="B14" s="182"/>
      <c r="C14" s="296"/>
      <c r="D14" s="296"/>
      <c r="E14" s="188" t="s">
        <v>218</v>
      </c>
      <c r="F14" s="189">
        <v>104</v>
      </c>
      <c r="G14" s="189">
        <v>104</v>
      </c>
      <c r="H14" s="189">
        <v>104</v>
      </c>
      <c r="I14" s="189">
        <f t="shared" ca="1" si="0"/>
        <v>104.36913364243509</v>
      </c>
      <c r="J14" s="190">
        <f t="shared" ca="1" si="3"/>
        <v>416.36913364243509</v>
      </c>
      <c r="K14" s="191">
        <f t="shared" ca="1" si="1"/>
        <v>0.10219473448304653</v>
      </c>
      <c r="L14" s="192" t="s">
        <v>51</v>
      </c>
      <c r="N14" s="210" t="s">
        <v>223</v>
      </c>
      <c r="V14" s="185"/>
    </row>
    <row r="15" spans="2:26" ht="15" x14ac:dyDescent="0.25">
      <c r="B15" s="182"/>
      <c r="C15" s="296" t="s">
        <v>224</v>
      </c>
      <c r="D15" s="296" t="s">
        <v>211</v>
      </c>
      <c r="E15" s="188" t="s">
        <v>212</v>
      </c>
      <c r="F15" s="189">
        <v>99</v>
      </c>
      <c r="G15" s="189">
        <v>99</v>
      </c>
      <c r="H15" s="189">
        <v>99</v>
      </c>
      <c r="I15" s="189">
        <f t="shared" ca="1" si="0"/>
        <v>99.392368069765723</v>
      </c>
      <c r="J15" s="190">
        <f t="shared" ca="1" si="3"/>
        <v>396.39236806976572</v>
      </c>
      <c r="K15" s="191">
        <f t="shared" ca="1" si="1"/>
        <v>0.1154645266287596</v>
      </c>
      <c r="L15" s="167">
        <f ca="1">(P7-P9)/P7</f>
        <v>0.99073849847118078</v>
      </c>
      <c r="N15" s="211">
        <f ca="1">TRUNC(SQRT(P7/P9)*1.41,0)</f>
        <v>14</v>
      </c>
      <c r="O15" s="176" t="s">
        <v>225</v>
      </c>
      <c r="V15" s="185"/>
    </row>
    <row r="16" spans="2:26" x14ac:dyDescent="0.2">
      <c r="B16" s="182"/>
      <c r="C16" s="296"/>
      <c r="D16" s="296"/>
      <c r="E16" s="188" t="s">
        <v>217</v>
      </c>
      <c r="F16" s="189">
        <v>98</v>
      </c>
      <c r="G16" s="189">
        <v>98</v>
      </c>
      <c r="H16" s="189">
        <v>98</v>
      </c>
      <c r="I16" s="189">
        <f t="shared" ca="1" si="0"/>
        <v>98.57611748814557</v>
      </c>
      <c r="J16" s="190">
        <f t="shared" ca="1" si="3"/>
        <v>392.57611748814554</v>
      </c>
      <c r="K16" s="191">
        <f t="shared" ca="1" si="1"/>
        <v>0.2489335201103709</v>
      </c>
      <c r="M16" s="212"/>
      <c r="V16" s="185"/>
    </row>
    <row r="17" spans="2:22" ht="15" x14ac:dyDescent="0.25">
      <c r="B17" s="182"/>
      <c r="C17" s="296"/>
      <c r="D17" s="296"/>
      <c r="E17" s="188" t="s">
        <v>218</v>
      </c>
      <c r="F17" s="189">
        <v>100</v>
      </c>
      <c r="G17" s="189">
        <v>100</v>
      </c>
      <c r="H17" s="189">
        <v>100</v>
      </c>
      <c r="I17" s="189">
        <f t="shared" ca="1" si="0"/>
        <v>100.44530993605137</v>
      </c>
      <c r="J17" s="190">
        <f t="shared" ca="1" si="3"/>
        <v>400.44530993605139</v>
      </c>
      <c r="K17" s="191">
        <f t="shared" ca="1" si="1"/>
        <v>0.14872570435955859</v>
      </c>
      <c r="L17" s="192" t="s">
        <v>226</v>
      </c>
      <c r="M17" s="209"/>
      <c r="V17" s="185"/>
    </row>
    <row r="18" spans="2:22" ht="15" x14ac:dyDescent="0.25">
      <c r="B18" s="182"/>
      <c r="C18" s="296"/>
      <c r="D18" s="296" t="s">
        <v>219</v>
      </c>
      <c r="E18" s="188" t="s">
        <v>212</v>
      </c>
      <c r="F18" s="189">
        <v>99</v>
      </c>
      <c r="G18" s="189">
        <v>99</v>
      </c>
      <c r="H18" s="189">
        <v>99</v>
      </c>
      <c r="I18" s="189">
        <f t="shared" ca="1" si="0"/>
        <v>99.964603966646081</v>
      </c>
      <c r="J18" s="190">
        <f t="shared" ca="1" si="3"/>
        <v>396.96460396664611</v>
      </c>
      <c r="K18" s="191">
        <f t="shared" ca="1" si="1"/>
        <v>0.69784560935201512</v>
      </c>
      <c r="L18" s="167">
        <f ca="1">(R7-R9)/R7</f>
        <v>0.98776567081995481</v>
      </c>
      <c r="M18" s="212"/>
      <c r="V18" s="185"/>
    </row>
    <row r="19" spans="2:22" x14ac:dyDescent="0.2">
      <c r="B19" s="182"/>
      <c r="C19" s="296"/>
      <c r="D19" s="296"/>
      <c r="E19" s="188" t="s">
        <v>217</v>
      </c>
      <c r="F19" s="189">
        <v>98</v>
      </c>
      <c r="G19" s="189">
        <v>98</v>
      </c>
      <c r="H19" s="189">
        <v>98</v>
      </c>
      <c r="I19" s="189">
        <f t="shared" ca="1" si="0"/>
        <v>98.943586009911712</v>
      </c>
      <c r="J19" s="190">
        <f t="shared" ca="1" si="3"/>
        <v>392.94358600991171</v>
      </c>
      <c r="K19" s="191">
        <f t="shared" ca="1" si="1"/>
        <v>0.66776591857582934</v>
      </c>
      <c r="L19" s="184"/>
      <c r="M19" s="209"/>
      <c r="V19" s="185"/>
    </row>
    <row r="20" spans="2:22" x14ac:dyDescent="0.2">
      <c r="B20" s="182"/>
      <c r="C20" s="296"/>
      <c r="D20" s="296"/>
      <c r="E20" s="188" t="s">
        <v>218</v>
      </c>
      <c r="F20" s="189">
        <v>98</v>
      </c>
      <c r="G20" s="189">
        <v>98</v>
      </c>
      <c r="H20" s="189">
        <v>98</v>
      </c>
      <c r="I20" s="189">
        <f t="shared" ca="1" si="0"/>
        <v>98.555342849150591</v>
      </c>
      <c r="J20" s="190">
        <f t="shared" ca="1" si="3"/>
        <v>392.55534284915058</v>
      </c>
      <c r="K20" s="191">
        <f t="shared" ca="1" si="1"/>
        <v>0.23130426007702221</v>
      </c>
      <c r="M20" s="212"/>
      <c r="V20" s="185"/>
    </row>
    <row r="21" spans="2:22" x14ac:dyDescent="0.2">
      <c r="B21" s="182"/>
      <c r="C21" s="296"/>
      <c r="D21" s="296" t="s">
        <v>221</v>
      </c>
      <c r="E21" s="188" t="s">
        <v>212</v>
      </c>
      <c r="F21" s="189">
        <v>104</v>
      </c>
      <c r="G21" s="189">
        <v>104</v>
      </c>
      <c r="H21" s="189">
        <v>104</v>
      </c>
      <c r="I21" s="189">
        <f t="shared" ca="1" si="0"/>
        <v>104.67515399755131</v>
      </c>
      <c r="J21" s="190">
        <f t="shared" ca="1" si="3"/>
        <v>416.67515399755132</v>
      </c>
      <c r="K21" s="191">
        <f t="shared" ca="1" si="1"/>
        <v>0.34187469030713113</v>
      </c>
      <c r="L21" s="184"/>
      <c r="M21" s="209"/>
      <c r="V21" s="185"/>
    </row>
    <row r="22" spans="2:22" x14ac:dyDescent="0.2">
      <c r="B22" s="182"/>
      <c r="C22" s="296"/>
      <c r="D22" s="296"/>
      <c r="E22" s="188" t="s">
        <v>217</v>
      </c>
      <c r="F22" s="189">
        <v>105</v>
      </c>
      <c r="G22" s="189">
        <v>105</v>
      </c>
      <c r="H22" s="189">
        <v>105</v>
      </c>
      <c r="I22" s="189">
        <f t="shared" ca="1" si="0"/>
        <v>105.17417181820134</v>
      </c>
      <c r="J22" s="190">
        <f t="shared" ca="1" si="3"/>
        <v>420.17417181820133</v>
      </c>
      <c r="K22" s="191">
        <f t="shared" ca="1" si="1"/>
        <v>2.2751866691671598E-2</v>
      </c>
      <c r="M22" s="212"/>
      <c r="V22" s="185"/>
    </row>
    <row r="23" spans="2:22" ht="12.75" customHeight="1" x14ac:dyDescent="0.2">
      <c r="B23" s="182"/>
      <c r="C23" s="296"/>
      <c r="D23" s="296"/>
      <c r="E23" s="188" t="s">
        <v>218</v>
      </c>
      <c r="F23" s="189">
        <v>105</v>
      </c>
      <c r="G23" s="189">
        <v>105</v>
      </c>
      <c r="H23" s="189">
        <v>105</v>
      </c>
      <c r="I23" s="189">
        <f t="shared" ca="1" si="0"/>
        <v>105.42169177474847</v>
      </c>
      <c r="J23" s="190">
        <f t="shared" ca="1" si="3"/>
        <v>420.42169177474847</v>
      </c>
      <c r="K23" s="191">
        <f t="shared" ca="1" si="1"/>
        <v>0.133367964667884</v>
      </c>
      <c r="L23" s="184"/>
      <c r="M23" s="209"/>
      <c r="V23" s="185"/>
    </row>
    <row r="24" spans="2:22" x14ac:dyDescent="0.2">
      <c r="B24" s="182"/>
      <c r="C24" s="296" t="s">
        <v>227</v>
      </c>
      <c r="D24" s="296" t="s">
        <v>211</v>
      </c>
      <c r="E24" s="188" t="s">
        <v>212</v>
      </c>
      <c r="F24" s="189">
        <v>98</v>
      </c>
      <c r="G24" s="189">
        <v>98</v>
      </c>
      <c r="H24" s="189">
        <v>98</v>
      </c>
      <c r="I24" s="189">
        <f t="shared" ca="1" si="0"/>
        <v>98.881009047291769</v>
      </c>
      <c r="J24" s="190">
        <f t="shared" ca="1" si="3"/>
        <v>392.88100904729174</v>
      </c>
      <c r="K24" s="191">
        <f t="shared" ca="1" si="1"/>
        <v>0.58213270605746326</v>
      </c>
      <c r="M24" s="212"/>
      <c r="V24" s="185"/>
    </row>
    <row r="25" spans="2:22" x14ac:dyDescent="0.2">
      <c r="B25" s="182"/>
      <c r="C25" s="296"/>
      <c r="D25" s="296"/>
      <c r="E25" s="188" t="s">
        <v>217</v>
      </c>
      <c r="F25" s="189">
        <v>99</v>
      </c>
      <c r="G25" s="189">
        <v>99</v>
      </c>
      <c r="H25" s="189">
        <v>99</v>
      </c>
      <c r="I25" s="189">
        <f t="shared" ca="1" si="0"/>
        <v>99.138327495348932</v>
      </c>
      <c r="J25" s="190">
        <f t="shared" ca="1" si="3"/>
        <v>396.1383274953489</v>
      </c>
      <c r="K25" s="191">
        <f t="shared" ca="1" si="1"/>
        <v>1.4350871977131596E-2</v>
      </c>
      <c r="L25" s="184"/>
      <c r="M25" s="209"/>
      <c r="V25" s="185"/>
    </row>
    <row r="26" spans="2:22" x14ac:dyDescent="0.2">
      <c r="B26" s="182"/>
      <c r="C26" s="296"/>
      <c r="D26" s="296"/>
      <c r="E26" s="188" t="s">
        <v>218</v>
      </c>
      <c r="F26" s="189">
        <v>98</v>
      </c>
      <c r="G26" s="189">
        <v>98</v>
      </c>
      <c r="H26" s="189">
        <v>98</v>
      </c>
      <c r="I26" s="189">
        <f t="shared" ca="1" si="0"/>
        <v>98.508758525934127</v>
      </c>
      <c r="J26" s="190">
        <f t="shared" ca="1" si="3"/>
        <v>392.50875852593413</v>
      </c>
      <c r="K26" s="191">
        <f t="shared" ca="1" si="1"/>
        <v>0.19412642828299914</v>
      </c>
      <c r="M26" s="212"/>
      <c r="V26" s="185"/>
    </row>
    <row r="27" spans="2:22" x14ac:dyDescent="0.2">
      <c r="B27" s="182"/>
      <c r="C27" s="296"/>
      <c r="D27" s="296" t="s">
        <v>219</v>
      </c>
      <c r="E27" s="188" t="s">
        <v>212</v>
      </c>
      <c r="F27" s="189">
        <v>100</v>
      </c>
      <c r="G27" s="189">
        <v>100</v>
      </c>
      <c r="H27" s="189">
        <v>100</v>
      </c>
      <c r="I27" s="189">
        <f t="shared" ca="1" si="0"/>
        <v>100.39269194924869</v>
      </c>
      <c r="J27" s="190">
        <f t="shared" ca="1" si="3"/>
        <v>400.39269194924867</v>
      </c>
      <c r="K27" s="191">
        <f t="shared" ca="1" si="1"/>
        <v>0.11565522525354943</v>
      </c>
      <c r="L27" s="184"/>
      <c r="M27" s="209"/>
      <c r="V27" s="185"/>
    </row>
    <row r="28" spans="2:22" ht="12.75" customHeight="1" x14ac:dyDescent="0.2">
      <c r="B28" s="182"/>
      <c r="C28" s="296"/>
      <c r="D28" s="296"/>
      <c r="E28" s="188" t="s">
        <v>217</v>
      </c>
      <c r="F28" s="189">
        <v>98</v>
      </c>
      <c r="G28" s="189">
        <v>98</v>
      </c>
      <c r="H28" s="189">
        <v>98</v>
      </c>
      <c r="I28" s="189">
        <f t="shared" ca="1" si="0"/>
        <v>98.107423992958644</v>
      </c>
      <c r="J28" s="190">
        <f t="shared" ca="1" si="3"/>
        <v>392.10742399295862</v>
      </c>
      <c r="K28" s="191">
        <f t="shared" ca="1" si="1"/>
        <v>8.6549356973841009E-3</v>
      </c>
      <c r="M28" s="212"/>
      <c r="V28" s="185"/>
    </row>
    <row r="29" spans="2:22" ht="13.5" customHeight="1" x14ac:dyDescent="0.2">
      <c r="B29" s="182"/>
      <c r="C29" s="296"/>
      <c r="D29" s="296"/>
      <c r="E29" s="188" t="s">
        <v>218</v>
      </c>
      <c r="F29" s="189">
        <v>100</v>
      </c>
      <c r="G29" s="189">
        <v>100</v>
      </c>
      <c r="H29" s="189">
        <v>100</v>
      </c>
      <c r="I29" s="189">
        <f t="shared" ca="1" si="0"/>
        <v>100.7620596997395</v>
      </c>
      <c r="J29" s="190">
        <f ca="1">SUM(F29:I29)</f>
        <v>400.7620596997395</v>
      </c>
      <c r="K29" s="191">
        <f t="shared" ca="1" si="1"/>
        <v>0.43555123947528757</v>
      </c>
      <c r="L29" s="184"/>
      <c r="M29" s="209"/>
      <c r="V29" s="185"/>
    </row>
    <row r="30" spans="2:22" ht="12.75" customHeight="1" x14ac:dyDescent="0.2">
      <c r="B30" s="182"/>
      <c r="C30" s="296"/>
      <c r="D30" s="296" t="s">
        <v>221</v>
      </c>
      <c r="E30" s="188" t="s">
        <v>212</v>
      </c>
      <c r="F30" s="189">
        <v>104</v>
      </c>
      <c r="G30" s="189">
        <v>104</v>
      </c>
      <c r="H30" s="189">
        <v>104</v>
      </c>
      <c r="I30" s="189">
        <f t="shared" ca="1" si="0"/>
        <v>104.96201367730106</v>
      </c>
      <c r="J30" s="190">
        <f t="shared" ca="1" si="3"/>
        <v>416.96201367730106</v>
      </c>
      <c r="K30" s="191">
        <f t="shared" ca="1" si="1"/>
        <v>0.69410273648572895</v>
      </c>
      <c r="M30" s="212"/>
      <c r="V30" s="185"/>
    </row>
    <row r="31" spans="2:22" x14ac:dyDescent="0.2">
      <c r="B31" s="182"/>
      <c r="C31" s="296"/>
      <c r="D31" s="296"/>
      <c r="E31" s="188" t="s">
        <v>217</v>
      </c>
      <c r="F31" s="189">
        <v>102</v>
      </c>
      <c r="G31" s="189">
        <v>102</v>
      </c>
      <c r="H31" s="189">
        <v>102</v>
      </c>
      <c r="I31" s="189">
        <f t="shared" ca="1" si="0"/>
        <v>102.95949042801394</v>
      </c>
      <c r="J31" s="190">
        <f t="shared" ca="1" si="3"/>
        <v>408.95949042801396</v>
      </c>
      <c r="K31" s="191">
        <f t="shared" ca="1" si="1"/>
        <v>0.69046641108777462</v>
      </c>
      <c r="L31" s="184"/>
      <c r="M31" s="209"/>
      <c r="V31" s="185"/>
    </row>
    <row r="32" spans="2:22" x14ac:dyDescent="0.2">
      <c r="B32" s="182"/>
      <c r="C32" s="296"/>
      <c r="D32" s="296"/>
      <c r="E32" s="188" t="s">
        <v>218</v>
      </c>
      <c r="F32" s="189">
        <v>105</v>
      </c>
      <c r="G32" s="189">
        <v>105</v>
      </c>
      <c r="H32" s="189">
        <v>105</v>
      </c>
      <c r="I32" s="189">
        <f t="shared" ca="1" si="0"/>
        <v>105.69605981149802</v>
      </c>
      <c r="J32" s="190">
        <f t="shared" ca="1" si="3"/>
        <v>420.696059811498</v>
      </c>
      <c r="K32" s="191">
        <f t="shared" ca="1" si="1"/>
        <v>0.36337444588699142</v>
      </c>
      <c r="M32" s="212"/>
      <c r="V32" s="185"/>
    </row>
    <row r="33" spans="2:22" x14ac:dyDescent="0.2">
      <c r="B33" s="182"/>
      <c r="C33" s="184"/>
      <c r="D33" s="184"/>
      <c r="E33" s="184"/>
      <c r="F33" s="184"/>
      <c r="G33" s="184"/>
      <c r="H33" s="184"/>
      <c r="I33" s="184"/>
      <c r="J33" s="213" t="s">
        <v>228</v>
      </c>
      <c r="K33" s="191">
        <f ca="1">SUM(K6:K32)</f>
        <v>7.149655473416292</v>
      </c>
      <c r="L33" s="184"/>
      <c r="M33" s="209"/>
      <c r="V33" s="185"/>
    </row>
    <row r="34" spans="2:22" ht="13.5" thickBot="1" x14ac:dyDescent="0.25">
      <c r="B34" s="214"/>
      <c r="C34" s="215"/>
      <c r="D34" s="215"/>
      <c r="E34" s="215"/>
      <c r="F34" s="215"/>
      <c r="G34" s="215"/>
      <c r="H34" s="215"/>
      <c r="I34" s="215"/>
      <c r="J34" s="215"/>
      <c r="K34" s="215"/>
      <c r="L34" s="215"/>
      <c r="M34" s="215"/>
      <c r="N34" s="216"/>
      <c r="O34" s="216"/>
      <c r="P34" s="216"/>
      <c r="Q34" s="216"/>
      <c r="R34" s="216"/>
      <c r="S34" s="216"/>
      <c r="T34" s="216"/>
      <c r="U34" s="216"/>
      <c r="V34" s="217"/>
    </row>
  </sheetData>
  <mergeCells count="17">
    <mergeCell ref="C24:C32"/>
    <mergeCell ref="D24:D26"/>
    <mergeCell ref="D27:D29"/>
    <mergeCell ref="D30:D32"/>
    <mergeCell ref="P5:U5"/>
    <mergeCell ref="C15:C23"/>
    <mergeCell ref="D15:D17"/>
    <mergeCell ref="D18:D20"/>
    <mergeCell ref="D21:D23"/>
    <mergeCell ref="C6:C14"/>
    <mergeCell ref="D6:D8"/>
    <mergeCell ref="D9:D11"/>
    <mergeCell ref="D12:D14"/>
    <mergeCell ref="B2:M2"/>
    <mergeCell ref="C4:J4"/>
    <mergeCell ref="F5:I5"/>
    <mergeCell ref="L5:N5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A7FFD-9D4A-4A5E-958F-BAEE3A7713C3}">
  <dimension ref="B2:M27"/>
  <sheetViews>
    <sheetView showGridLines="0" zoomScale="85" zoomScaleNormal="85" workbookViewId="0">
      <selection activeCell="M39" sqref="M39"/>
    </sheetView>
  </sheetViews>
  <sheetFormatPr baseColWidth="10" defaultColWidth="9.140625" defaultRowHeight="15" x14ac:dyDescent="0.25"/>
  <cols>
    <col min="2" max="2" width="11.140625" customWidth="1"/>
    <col min="3" max="3" width="10.5703125" bestFit="1" customWidth="1"/>
    <col min="6" max="6" width="10.42578125" bestFit="1" customWidth="1"/>
    <col min="10" max="10" width="11.42578125" bestFit="1" customWidth="1"/>
    <col min="11" max="11" width="12.5703125" customWidth="1"/>
  </cols>
  <sheetData>
    <row r="2" spans="2:13" x14ac:dyDescent="0.25">
      <c r="B2" s="140" t="s">
        <v>179</v>
      </c>
    </row>
    <row r="4" spans="2:13" ht="15.75" thickBot="1" x14ac:dyDescent="0.3">
      <c r="B4" t="s">
        <v>180</v>
      </c>
    </row>
    <row r="5" spans="2:13" ht="15.75" customHeight="1" thickBot="1" x14ac:dyDescent="0.3">
      <c r="B5" s="305" t="s">
        <v>181</v>
      </c>
      <c r="C5" s="306"/>
      <c r="D5" s="306"/>
      <c r="E5" s="306"/>
      <c r="F5" s="307"/>
    </row>
    <row r="6" spans="2:13" x14ac:dyDescent="0.25">
      <c r="B6" s="141" t="s">
        <v>130</v>
      </c>
      <c r="C6" s="142" t="s">
        <v>182</v>
      </c>
      <c r="D6" s="142" t="s">
        <v>183</v>
      </c>
      <c r="E6" s="142" t="s">
        <v>184</v>
      </c>
      <c r="F6" s="143" t="s">
        <v>185</v>
      </c>
      <c r="G6" s="144"/>
      <c r="H6" s="145" t="s">
        <v>182</v>
      </c>
      <c r="I6" s="146" t="s">
        <v>186</v>
      </c>
      <c r="J6" s="146" t="s">
        <v>187</v>
      </c>
      <c r="K6" s="146" t="s">
        <v>188</v>
      </c>
      <c r="L6" s="146" t="s">
        <v>189</v>
      </c>
      <c r="M6" s="147" t="s">
        <v>190</v>
      </c>
    </row>
    <row r="7" spans="2:13" x14ac:dyDescent="0.25">
      <c r="B7" s="308" t="s">
        <v>191</v>
      </c>
      <c r="C7" s="148">
        <v>10.1</v>
      </c>
      <c r="D7" s="149">
        <f>M7</f>
        <v>2</v>
      </c>
      <c r="E7" s="309">
        <f>SUM(D7:D11)</f>
        <v>39.5</v>
      </c>
      <c r="F7" s="310">
        <f>E7^2/COUNT(C7:C11)</f>
        <v>312.05</v>
      </c>
      <c r="G7" s="150"/>
      <c r="H7" s="151">
        <f>C7</f>
        <v>10.1</v>
      </c>
      <c r="I7" s="152">
        <f>RANK(H7,$C$7:$C$21,1)</f>
        <v>2</v>
      </c>
      <c r="J7" s="152">
        <f>COUNTIF($I$7:$I$21,$I$7:$I$21)</f>
        <v>1</v>
      </c>
      <c r="K7" s="152" t="str">
        <f>IF(J7=2,(I7*2+1)/2,"")</f>
        <v/>
      </c>
      <c r="L7" s="153" t="str">
        <f t="shared" ref="L7:L10" si="0">IF(J7=3,(I7*3+3)/3,"")</f>
        <v/>
      </c>
      <c r="M7" s="154">
        <f>IF(J7=1,I7,IF(J7=2,K7,IF(J7=3,L7,"")))</f>
        <v>2</v>
      </c>
    </row>
    <row r="8" spans="2:13" x14ac:dyDescent="0.25">
      <c r="B8" s="308"/>
      <c r="C8" s="148">
        <v>12.5</v>
      </c>
      <c r="D8" s="149">
        <f t="shared" ref="D8:D21" si="1">M8</f>
        <v>10</v>
      </c>
      <c r="E8" s="309"/>
      <c r="F8" s="310"/>
      <c r="G8" s="150"/>
      <c r="H8" s="151">
        <f t="shared" ref="H8:H21" si="2">C8</f>
        <v>12.5</v>
      </c>
      <c r="I8" s="152">
        <f t="shared" ref="I8:I21" si="3">RANK(H8,$C$7:$C$21,1)</f>
        <v>9</v>
      </c>
      <c r="J8" s="152">
        <f>COUNTIF($I$7:$I$21,$I$7:$I$21)</f>
        <v>3</v>
      </c>
      <c r="K8" s="152" t="str">
        <f t="shared" ref="K8:K21" si="4">IF(J8=2,(I8*2+1)/2,"")</f>
        <v/>
      </c>
      <c r="L8" s="153">
        <f t="shared" si="0"/>
        <v>10</v>
      </c>
      <c r="M8" s="154">
        <f t="shared" ref="M8:M21" si="5">IF(J8=1,I8,IF(J8=2,K8,IF(J8=3,L8,"")))</f>
        <v>10</v>
      </c>
    </row>
    <row r="9" spans="2:13" x14ac:dyDescent="0.25">
      <c r="B9" s="308"/>
      <c r="C9" s="148">
        <v>13</v>
      </c>
      <c r="D9" s="149">
        <f t="shared" si="1"/>
        <v>13.5</v>
      </c>
      <c r="E9" s="309"/>
      <c r="F9" s="310"/>
      <c r="G9" s="150"/>
      <c r="H9" s="151">
        <f t="shared" si="2"/>
        <v>13</v>
      </c>
      <c r="I9" s="155">
        <f t="shared" si="3"/>
        <v>13</v>
      </c>
      <c r="J9" s="152">
        <f>COUNTIF($I$7:$I$21,$I$7:$I$21)</f>
        <v>2</v>
      </c>
      <c r="K9" s="152">
        <f t="shared" si="4"/>
        <v>13.5</v>
      </c>
      <c r="L9" s="153" t="str">
        <f t="shared" si="0"/>
        <v/>
      </c>
      <c r="M9" s="154">
        <f t="shared" si="5"/>
        <v>13.5</v>
      </c>
    </row>
    <row r="10" spans="2:13" x14ac:dyDescent="0.25">
      <c r="B10" s="308"/>
      <c r="C10" s="148">
        <v>11.8</v>
      </c>
      <c r="D10" s="149">
        <f t="shared" si="1"/>
        <v>6</v>
      </c>
      <c r="E10" s="309"/>
      <c r="F10" s="310"/>
      <c r="G10" s="150"/>
      <c r="H10" s="151">
        <f t="shared" si="2"/>
        <v>11.8</v>
      </c>
      <c r="I10" s="155">
        <f t="shared" si="3"/>
        <v>6</v>
      </c>
      <c r="J10" s="152">
        <f t="shared" ref="J10:J21" si="6">COUNTIF($I$7:$I$21,$I$7:$I$21)</f>
        <v>1</v>
      </c>
      <c r="K10" s="152" t="str">
        <f>IF(J10=2,(I10*2+1)/2,"")</f>
        <v/>
      </c>
      <c r="L10" s="153" t="str">
        <f t="shared" si="0"/>
        <v/>
      </c>
      <c r="M10" s="154">
        <f t="shared" si="5"/>
        <v>6</v>
      </c>
    </row>
    <row r="11" spans="2:13" ht="15.75" thickBot="1" x14ac:dyDescent="0.3">
      <c r="B11" s="308"/>
      <c r="C11" s="148">
        <v>12.2</v>
      </c>
      <c r="D11" s="149">
        <f t="shared" si="1"/>
        <v>8</v>
      </c>
      <c r="E11" s="309"/>
      <c r="F11" s="310"/>
      <c r="G11" s="150"/>
      <c r="H11" s="156">
        <f t="shared" si="2"/>
        <v>12.2</v>
      </c>
      <c r="I11" s="157">
        <f t="shared" si="3"/>
        <v>8</v>
      </c>
      <c r="J11" s="158">
        <f t="shared" si="6"/>
        <v>1</v>
      </c>
      <c r="K11" s="158" t="str">
        <f t="shared" si="4"/>
        <v/>
      </c>
      <c r="L11" s="159" t="str">
        <f>IF(J11=3,(I11*3+3)/3,"")</f>
        <v/>
      </c>
      <c r="M11" s="160">
        <f t="shared" si="5"/>
        <v>8</v>
      </c>
    </row>
    <row r="12" spans="2:13" x14ac:dyDescent="0.25">
      <c r="B12" s="308" t="s">
        <v>192</v>
      </c>
      <c r="C12" s="148">
        <v>10</v>
      </c>
      <c r="D12" s="149">
        <f t="shared" si="1"/>
        <v>1</v>
      </c>
      <c r="E12" s="309">
        <f t="shared" ref="E12" si="7">SUM(D12:D16)</f>
        <v>23</v>
      </c>
      <c r="F12" s="310">
        <f t="shared" ref="F12" si="8">E12^2/COUNT(C12:C16)</f>
        <v>105.8</v>
      </c>
      <c r="G12" s="150"/>
      <c r="H12" s="145">
        <f t="shared" si="2"/>
        <v>10</v>
      </c>
      <c r="I12" s="161">
        <f t="shared" si="3"/>
        <v>1</v>
      </c>
      <c r="J12" s="146">
        <f t="shared" si="6"/>
        <v>1</v>
      </c>
      <c r="K12" s="146" t="str">
        <f t="shared" si="4"/>
        <v/>
      </c>
      <c r="L12" s="162" t="str">
        <f t="shared" ref="L12:L21" si="9">IF(J12=3,(I12*3+3)/3,"")</f>
        <v/>
      </c>
      <c r="M12" s="147">
        <f t="shared" si="5"/>
        <v>1</v>
      </c>
    </row>
    <row r="13" spans="2:13" x14ac:dyDescent="0.25">
      <c r="B13" s="308"/>
      <c r="C13" s="148">
        <v>11.4</v>
      </c>
      <c r="D13" s="149">
        <f t="shared" si="1"/>
        <v>4</v>
      </c>
      <c r="E13" s="309"/>
      <c r="F13" s="310"/>
      <c r="G13" s="150"/>
      <c r="H13" s="151">
        <f t="shared" si="2"/>
        <v>11.4</v>
      </c>
      <c r="I13" s="155">
        <f t="shared" si="3"/>
        <v>4</v>
      </c>
      <c r="J13" s="152">
        <f t="shared" si="6"/>
        <v>1</v>
      </c>
      <c r="K13" s="152" t="str">
        <f t="shared" si="4"/>
        <v/>
      </c>
      <c r="L13" s="153" t="str">
        <f t="shared" si="9"/>
        <v/>
      </c>
      <c r="M13" s="154">
        <f t="shared" si="5"/>
        <v>4</v>
      </c>
    </row>
    <row r="14" spans="2:13" x14ac:dyDescent="0.25">
      <c r="B14" s="308"/>
      <c r="C14" s="148">
        <v>12.5</v>
      </c>
      <c r="D14" s="149">
        <f t="shared" si="1"/>
        <v>10</v>
      </c>
      <c r="E14" s="309"/>
      <c r="F14" s="310"/>
      <c r="G14" s="150"/>
      <c r="H14" s="151">
        <f t="shared" si="2"/>
        <v>12.5</v>
      </c>
      <c r="I14" s="155">
        <f t="shared" si="3"/>
        <v>9</v>
      </c>
      <c r="J14" s="152">
        <f t="shared" si="6"/>
        <v>3</v>
      </c>
      <c r="K14" s="152" t="str">
        <f t="shared" si="4"/>
        <v/>
      </c>
      <c r="L14" s="153">
        <f t="shared" si="9"/>
        <v>10</v>
      </c>
      <c r="M14" s="154">
        <f t="shared" si="5"/>
        <v>10</v>
      </c>
    </row>
    <row r="15" spans="2:13" x14ac:dyDescent="0.25">
      <c r="B15" s="308"/>
      <c r="C15" s="148">
        <v>11.5</v>
      </c>
      <c r="D15" s="149">
        <f t="shared" si="1"/>
        <v>5</v>
      </c>
      <c r="E15" s="309"/>
      <c r="F15" s="310"/>
      <c r="G15" s="150"/>
      <c r="H15" s="151">
        <f t="shared" si="2"/>
        <v>11.5</v>
      </c>
      <c r="I15" s="155">
        <f t="shared" si="3"/>
        <v>5</v>
      </c>
      <c r="J15" s="152">
        <f t="shared" si="6"/>
        <v>1</v>
      </c>
      <c r="K15" s="152" t="str">
        <f t="shared" si="4"/>
        <v/>
      </c>
      <c r="L15" s="153" t="str">
        <f t="shared" si="9"/>
        <v/>
      </c>
      <c r="M15" s="154">
        <f t="shared" si="5"/>
        <v>5</v>
      </c>
    </row>
    <row r="16" spans="2:13" ht="15.75" thickBot="1" x14ac:dyDescent="0.3">
      <c r="B16" s="308"/>
      <c r="C16" s="148">
        <v>10.3</v>
      </c>
      <c r="D16" s="149">
        <f t="shared" si="1"/>
        <v>3</v>
      </c>
      <c r="E16" s="309"/>
      <c r="F16" s="310"/>
      <c r="G16" s="150"/>
      <c r="H16" s="156">
        <f t="shared" si="2"/>
        <v>10.3</v>
      </c>
      <c r="I16" s="157">
        <f t="shared" si="3"/>
        <v>3</v>
      </c>
      <c r="J16" s="158">
        <f t="shared" si="6"/>
        <v>1</v>
      </c>
      <c r="K16" s="158" t="str">
        <f t="shared" si="4"/>
        <v/>
      </c>
      <c r="L16" s="159" t="str">
        <f t="shared" si="9"/>
        <v/>
      </c>
      <c r="M16" s="160">
        <f t="shared" si="5"/>
        <v>3</v>
      </c>
    </row>
    <row r="17" spans="2:13" x14ac:dyDescent="0.25">
      <c r="B17" s="308" t="s">
        <v>193</v>
      </c>
      <c r="C17" s="148">
        <v>12.7</v>
      </c>
      <c r="D17" s="149">
        <f t="shared" si="1"/>
        <v>12</v>
      </c>
      <c r="E17" s="309">
        <f t="shared" ref="E17" si="10">SUM(D17:D21)</f>
        <v>57.5</v>
      </c>
      <c r="F17" s="310">
        <f t="shared" ref="F17" si="11">E17^2/COUNT(C17:C21)</f>
        <v>661.25</v>
      </c>
      <c r="G17" s="150"/>
      <c r="H17" s="145">
        <f t="shared" si="2"/>
        <v>12.7</v>
      </c>
      <c r="I17" s="161">
        <f t="shared" si="3"/>
        <v>12</v>
      </c>
      <c r="J17" s="146">
        <f t="shared" si="6"/>
        <v>1</v>
      </c>
      <c r="K17" s="146" t="str">
        <f t="shared" si="4"/>
        <v/>
      </c>
      <c r="L17" s="162" t="str">
        <f t="shared" si="9"/>
        <v/>
      </c>
      <c r="M17" s="147">
        <f t="shared" si="5"/>
        <v>12</v>
      </c>
    </row>
    <row r="18" spans="2:13" x14ac:dyDescent="0.25">
      <c r="B18" s="308"/>
      <c r="C18" s="148">
        <v>12.5</v>
      </c>
      <c r="D18" s="149">
        <f t="shared" si="1"/>
        <v>10</v>
      </c>
      <c r="E18" s="309"/>
      <c r="F18" s="310"/>
      <c r="G18" s="150"/>
      <c r="H18" s="151">
        <f t="shared" si="2"/>
        <v>12.5</v>
      </c>
      <c r="I18" s="155">
        <f t="shared" si="3"/>
        <v>9</v>
      </c>
      <c r="J18" s="152">
        <f t="shared" si="6"/>
        <v>3</v>
      </c>
      <c r="K18" s="152" t="str">
        <f t="shared" si="4"/>
        <v/>
      </c>
      <c r="L18" s="153">
        <f t="shared" si="9"/>
        <v>10</v>
      </c>
      <c r="M18" s="154">
        <f t="shared" si="5"/>
        <v>10</v>
      </c>
    </row>
    <row r="19" spans="2:13" x14ac:dyDescent="0.25">
      <c r="B19" s="308"/>
      <c r="C19" s="148">
        <v>13.5</v>
      </c>
      <c r="D19" s="149">
        <f t="shared" si="1"/>
        <v>15</v>
      </c>
      <c r="E19" s="309"/>
      <c r="F19" s="310"/>
      <c r="G19" s="150"/>
      <c r="H19" s="151">
        <f t="shared" si="2"/>
        <v>13.5</v>
      </c>
      <c r="I19" s="155">
        <f t="shared" si="3"/>
        <v>15</v>
      </c>
      <c r="J19" s="152">
        <f t="shared" si="6"/>
        <v>1</v>
      </c>
      <c r="K19" s="152" t="str">
        <f t="shared" si="4"/>
        <v/>
      </c>
      <c r="L19" s="153" t="str">
        <f t="shared" si="9"/>
        <v/>
      </c>
      <c r="M19" s="154">
        <f t="shared" si="5"/>
        <v>15</v>
      </c>
    </row>
    <row r="20" spans="2:13" x14ac:dyDescent="0.25">
      <c r="B20" s="308"/>
      <c r="C20" s="148">
        <v>12.1</v>
      </c>
      <c r="D20" s="149">
        <f t="shared" si="1"/>
        <v>7</v>
      </c>
      <c r="E20" s="309"/>
      <c r="F20" s="310"/>
      <c r="G20" s="150"/>
      <c r="H20" s="151">
        <f t="shared" si="2"/>
        <v>12.1</v>
      </c>
      <c r="I20" s="155">
        <f t="shared" si="3"/>
        <v>7</v>
      </c>
      <c r="J20" s="152">
        <f t="shared" si="6"/>
        <v>1</v>
      </c>
      <c r="K20" s="152" t="str">
        <f t="shared" si="4"/>
        <v/>
      </c>
      <c r="L20" s="153" t="str">
        <f t="shared" si="9"/>
        <v/>
      </c>
      <c r="M20" s="154">
        <f t="shared" si="5"/>
        <v>7</v>
      </c>
    </row>
    <row r="21" spans="2:13" ht="15.75" thickBot="1" x14ac:dyDescent="0.3">
      <c r="B21" s="308"/>
      <c r="C21" s="148">
        <v>13</v>
      </c>
      <c r="D21" s="149">
        <f t="shared" si="1"/>
        <v>13.5</v>
      </c>
      <c r="E21" s="309"/>
      <c r="F21" s="310"/>
      <c r="G21" s="150"/>
      <c r="H21" s="156">
        <f t="shared" si="2"/>
        <v>13</v>
      </c>
      <c r="I21" s="157">
        <f t="shared" si="3"/>
        <v>13</v>
      </c>
      <c r="J21" s="163">
        <f t="shared" si="6"/>
        <v>2</v>
      </c>
      <c r="K21" s="163">
        <f t="shared" si="4"/>
        <v>13.5</v>
      </c>
      <c r="L21" s="164" t="str">
        <f t="shared" si="9"/>
        <v/>
      </c>
      <c r="M21" s="160">
        <f t="shared" si="5"/>
        <v>13.5</v>
      </c>
    </row>
    <row r="22" spans="2:13" x14ac:dyDescent="0.25">
      <c r="B22" s="165" t="s">
        <v>194</v>
      </c>
      <c r="C22" s="311" t="str">
        <f>IF(E7+E12+E17=(COUNT(C7:C21)*(COUNT(C7:C21)+1))/2,"rang bien attribué","rang mal attribué")</f>
        <v>rang bien attribué</v>
      </c>
      <c r="D22" s="312"/>
      <c r="E22" s="312"/>
      <c r="F22" s="313"/>
      <c r="G22" s="144"/>
      <c r="J22" s="145" t="s">
        <v>5</v>
      </c>
      <c r="K22" s="146">
        <f>COUNT(K7:K21)</f>
        <v>2</v>
      </c>
      <c r="L22" s="147">
        <f>COUNT(L7:L21)</f>
        <v>3</v>
      </c>
    </row>
    <row r="23" spans="2:13" ht="15.75" thickBot="1" x14ac:dyDescent="0.3">
      <c r="B23" s="166" t="s">
        <v>195</v>
      </c>
      <c r="C23" s="167">
        <f>(12/(2*(E7+E12+E17)))*(F7+F12+F17)-3*(COUNT(C7:C21)+1)</f>
        <v>5.9549999999999983</v>
      </c>
      <c r="D23" s="314" t="s">
        <v>196</v>
      </c>
      <c r="E23" s="314"/>
      <c r="F23" s="168">
        <f>1-(K22*K23*(K22^2-1)+L22*L23*(L22^2-1))/(COUNT(C7:C21)*(COUNT(C7:C21)^2-1))</f>
        <v>0.9910714285714286</v>
      </c>
      <c r="J23" s="156" t="s">
        <v>197</v>
      </c>
      <c r="K23" s="158">
        <f>COUNT(K7:K21)-1</f>
        <v>1</v>
      </c>
      <c r="L23" s="169">
        <f>COUNT(L7:L21)-2</f>
        <v>1</v>
      </c>
    </row>
    <row r="24" spans="2:13" ht="15.75" thickBot="1" x14ac:dyDescent="0.3">
      <c r="B24" s="170" t="s">
        <v>198</v>
      </c>
      <c r="C24" s="171">
        <f>C23/F23</f>
        <v>6.0086486486486468</v>
      </c>
      <c r="D24" s="172" t="s">
        <v>199</v>
      </c>
      <c r="E24" s="171">
        <f>_xlfn.CHISQ.INV(0.95,2)</f>
        <v>5.9914645471079799</v>
      </c>
      <c r="F24" s="173" t="str">
        <f>IF(C24&lt;E24,"OK","Différence")</f>
        <v>Différence</v>
      </c>
      <c r="J24" t="s">
        <v>200</v>
      </c>
    </row>
    <row r="25" spans="2:13" x14ac:dyDescent="0.25">
      <c r="B25" t="s">
        <v>201</v>
      </c>
      <c r="J25" s="174" t="s">
        <v>202</v>
      </c>
    </row>
    <row r="26" spans="2:13" x14ac:dyDescent="0.25">
      <c r="B26" t="s">
        <v>203</v>
      </c>
    </row>
    <row r="27" spans="2:13" x14ac:dyDescent="0.25">
      <c r="E27" s="175"/>
    </row>
  </sheetData>
  <protectedRanges>
    <protectedRange sqref="C8:C9" name="Plage9_2_1_1_1"/>
  </protectedRanges>
  <mergeCells count="12">
    <mergeCell ref="B17:B21"/>
    <mergeCell ref="E17:E21"/>
    <mergeCell ref="F17:F21"/>
    <mergeCell ref="C22:F22"/>
    <mergeCell ref="D23:E23"/>
    <mergeCell ref="B5:F5"/>
    <mergeCell ref="B7:B11"/>
    <mergeCell ref="E7:E11"/>
    <mergeCell ref="F7:F11"/>
    <mergeCell ref="B12:B16"/>
    <mergeCell ref="E12:E16"/>
    <mergeCell ref="F12:F16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D59AB-FDC3-4E1F-8BEF-AE45E7BF50DE}">
  <dimension ref="B2:R35"/>
  <sheetViews>
    <sheetView showGridLines="0" zoomScale="85" zoomScaleNormal="85" workbookViewId="0">
      <selection activeCell="V32" sqref="V32"/>
    </sheetView>
  </sheetViews>
  <sheetFormatPr baseColWidth="10" defaultColWidth="9.140625" defaultRowHeight="15" x14ac:dyDescent="0.25"/>
  <cols>
    <col min="2" max="2" width="4.7109375" customWidth="1"/>
    <col min="3" max="3" width="11.42578125" customWidth="1"/>
    <col min="4" max="4" width="11.140625" customWidth="1"/>
    <col min="6" max="6" width="10.28515625" customWidth="1"/>
    <col min="7" max="7" width="8.42578125" customWidth="1"/>
    <col min="10" max="10" width="9.140625" customWidth="1"/>
    <col min="11" max="11" width="10.42578125" customWidth="1"/>
    <col min="12" max="12" width="10.5703125" customWidth="1"/>
    <col min="13" max="13" width="10" customWidth="1"/>
    <col min="18" max="18" width="8.140625" customWidth="1"/>
    <col min="22" max="22" width="9.5703125" bestFit="1" customWidth="1"/>
    <col min="27" max="27" width="12.85546875" customWidth="1"/>
    <col min="30" max="30" width="9.5703125" bestFit="1" customWidth="1"/>
  </cols>
  <sheetData>
    <row r="2" spans="2:18" ht="15.75" thickBot="1" x14ac:dyDescent="0.3"/>
    <row r="3" spans="2:18" x14ac:dyDescent="0.25">
      <c r="B3" s="319" t="s">
        <v>229</v>
      </c>
      <c r="C3" s="320"/>
      <c r="D3" s="323" t="s">
        <v>230</v>
      </c>
      <c r="E3" s="323"/>
      <c r="F3" s="324"/>
      <c r="K3" s="312" t="s">
        <v>231</v>
      </c>
      <c r="L3" s="312"/>
      <c r="M3" s="312"/>
    </row>
    <row r="4" spans="2:18" x14ac:dyDescent="0.25">
      <c r="B4" s="321"/>
      <c r="C4" s="322"/>
      <c r="D4" s="152" t="s">
        <v>191</v>
      </c>
      <c r="E4" s="152" t="s">
        <v>192</v>
      </c>
      <c r="F4" s="154" t="s">
        <v>193</v>
      </c>
      <c r="G4" s="304" t="s">
        <v>186</v>
      </c>
      <c r="H4" s="312"/>
      <c r="I4" s="312"/>
      <c r="J4" s="152" t="s">
        <v>232</v>
      </c>
      <c r="K4" s="152">
        <f>SUM(K5:K14)</f>
        <v>26</v>
      </c>
      <c r="L4" s="152">
        <f>SUM(L5:L14)</f>
        <v>16.5</v>
      </c>
      <c r="M4" s="152">
        <f>SUM(M5:M14)</f>
        <v>17.5</v>
      </c>
      <c r="N4" s="152" t="s">
        <v>184</v>
      </c>
      <c r="P4" s="140" t="s">
        <v>233</v>
      </c>
    </row>
    <row r="5" spans="2:18" x14ac:dyDescent="0.25">
      <c r="B5" s="325" t="s">
        <v>234</v>
      </c>
      <c r="C5" s="152">
        <v>1</v>
      </c>
      <c r="D5" s="218">
        <v>9</v>
      </c>
      <c r="E5" s="218">
        <v>8</v>
      </c>
      <c r="F5" s="219">
        <v>10</v>
      </c>
      <c r="G5" s="149">
        <f>RANK(D5,$D5:$F5,1)</f>
        <v>2</v>
      </c>
      <c r="H5" s="152">
        <f t="shared" ref="H5:I14" si="0">RANK(E5,$D5:$F5,1)</f>
        <v>1</v>
      </c>
      <c r="I5" s="152">
        <f t="shared" si="0"/>
        <v>3</v>
      </c>
      <c r="J5" s="152" t="str">
        <f>IF(SUM(G5:I5)=6,"OK",IF(SUM(G5:I5)=5,"doublon",IF(SUM(G5:I5)=3,"triplon","")))</f>
        <v>OK</v>
      </c>
      <c r="K5" s="204">
        <f>IF($J5="ok",G5,IF(J5="triplon",2,""))</f>
        <v>2</v>
      </c>
      <c r="L5" s="204">
        <f>IF($J5="ok",H5,IF(J5="triplon",2,""))</f>
        <v>1</v>
      </c>
      <c r="M5" s="204">
        <f>IF($J5="ok",I5,IF(J5="triplon",2,""))</f>
        <v>3</v>
      </c>
      <c r="N5" s="152">
        <f>SUM(K5:M5)</f>
        <v>6</v>
      </c>
      <c r="O5" s="144">
        <f>SUM(D5:F5)</f>
        <v>27</v>
      </c>
      <c r="P5" s="232" t="s">
        <v>235</v>
      </c>
      <c r="Q5" s="174"/>
      <c r="R5" s="174"/>
    </row>
    <row r="6" spans="2:18" x14ac:dyDescent="0.25">
      <c r="B6" s="325"/>
      <c r="C6" s="152">
        <v>2</v>
      </c>
      <c r="D6" s="218">
        <v>13</v>
      </c>
      <c r="E6" s="218">
        <v>13</v>
      </c>
      <c r="F6" s="219">
        <v>12</v>
      </c>
      <c r="G6" s="149">
        <f t="shared" ref="G6:G14" si="1">RANK(D6,$D6:$F6,1)</f>
        <v>2</v>
      </c>
      <c r="H6" s="152">
        <f t="shared" si="0"/>
        <v>2</v>
      </c>
      <c r="I6" s="152">
        <f t="shared" si="0"/>
        <v>1</v>
      </c>
      <c r="J6" s="152" t="str">
        <f t="shared" ref="J6:J14" si="2">IF(SUM(G6:I6)=6,"OK",IF(SUM(G6:I6)=5,"doublon",IF(SUM(G6:I6)=3,"triplon","")))</f>
        <v>doublon</v>
      </c>
      <c r="K6" s="220">
        <v>2.5</v>
      </c>
      <c r="L6" s="220">
        <v>2.5</v>
      </c>
      <c r="M6" s="220">
        <v>1</v>
      </c>
      <c r="N6" s="152">
        <f t="shared" ref="N6:N14" si="3">SUM(K6:M6)</f>
        <v>6</v>
      </c>
      <c r="O6" s="144">
        <f t="shared" ref="O6:O14" si="4">SUM(D6:F6)</f>
        <v>38</v>
      </c>
      <c r="P6" s="140" t="s">
        <v>251</v>
      </c>
    </row>
    <row r="7" spans="2:18" x14ac:dyDescent="0.25">
      <c r="B7" s="325"/>
      <c r="C7" s="152">
        <v>3</v>
      </c>
      <c r="D7" s="218">
        <v>12</v>
      </c>
      <c r="E7" s="218">
        <v>11</v>
      </c>
      <c r="F7" s="219">
        <v>10</v>
      </c>
      <c r="G7" s="149">
        <f t="shared" si="1"/>
        <v>3</v>
      </c>
      <c r="H7" s="152">
        <f t="shared" si="0"/>
        <v>2</v>
      </c>
      <c r="I7" s="152">
        <f t="shared" si="0"/>
        <v>1</v>
      </c>
      <c r="J7" s="152" t="str">
        <f t="shared" si="2"/>
        <v>OK</v>
      </c>
      <c r="K7" s="204">
        <f>IF($J7="ok",G7,IF(J7="triplon",2,""))</f>
        <v>3</v>
      </c>
      <c r="L7" s="204">
        <f>IF($J7="ok",H7,IF(J7="triplon",2,""))</f>
        <v>2</v>
      </c>
      <c r="M7" s="204">
        <f>IF($J7="ok",I7,IF(J7="triplon",2,""))</f>
        <v>1</v>
      </c>
      <c r="N7" s="152">
        <f t="shared" si="3"/>
        <v>6</v>
      </c>
      <c r="O7" s="144">
        <f t="shared" si="4"/>
        <v>33</v>
      </c>
      <c r="P7" s="140"/>
    </row>
    <row r="8" spans="2:18" x14ac:dyDescent="0.25">
      <c r="B8" s="325"/>
      <c r="C8" s="152">
        <v>4</v>
      </c>
      <c r="D8" s="218">
        <v>10</v>
      </c>
      <c r="E8" s="218">
        <v>9</v>
      </c>
      <c r="F8" s="219">
        <v>8</v>
      </c>
      <c r="G8" s="149">
        <f t="shared" si="1"/>
        <v>3</v>
      </c>
      <c r="H8" s="152">
        <f t="shared" si="0"/>
        <v>2</v>
      </c>
      <c r="I8" s="152">
        <f t="shared" si="0"/>
        <v>1</v>
      </c>
      <c r="J8" s="152" t="str">
        <f t="shared" si="2"/>
        <v>OK</v>
      </c>
      <c r="K8" s="204">
        <f>IF($J8="ok",G8,IF(J8="triplon",2,""))</f>
        <v>3</v>
      </c>
      <c r="L8" s="204">
        <f>IF($J8="ok",H8,IF(J8="triplon",2,""))</f>
        <v>2</v>
      </c>
      <c r="M8" s="204">
        <f>IF($J8="ok",I8,IF(J8="triplon",2,""))</f>
        <v>1</v>
      </c>
      <c r="N8" s="152">
        <f t="shared" si="3"/>
        <v>6</v>
      </c>
      <c r="O8" s="144">
        <f t="shared" si="4"/>
        <v>27</v>
      </c>
    </row>
    <row r="9" spans="2:18" x14ac:dyDescent="0.25">
      <c r="B9" s="325"/>
      <c r="C9" s="152">
        <v>5</v>
      </c>
      <c r="D9" s="218">
        <v>14</v>
      </c>
      <c r="E9" s="218">
        <v>12</v>
      </c>
      <c r="F9" s="219">
        <v>13</v>
      </c>
      <c r="G9" s="149">
        <f t="shared" si="1"/>
        <v>3</v>
      </c>
      <c r="H9" s="152">
        <f t="shared" si="0"/>
        <v>1</v>
      </c>
      <c r="I9" s="152">
        <f t="shared" si="0"/>
        <v>2</v>
      </c>
      <c r="J9" s="152" t="str">
        <f t="shared" si="2"/>
        <v>OK</v>
      </c>
      <c r="K9" s="204">
        <f>IF($J9="ok",G9,IF(J9="triplon",2,""))</f>
        <v>3</v>
      </c>
      <c r="L9" s="204">
        <f>IF($J9="ok",H9,IF(J9="triplon",2,""))</f>
        <v>1</v>
      </c>
      <c r="M9" s="204">
        <f>IF($J9="ok",I9,IF(J9="triplon",2,""))</f>
        <v>2</v>
      </c>
      <c r="N9" s="152">
        <f t="shared" si="3"/>
        <v>6</v>
      </c>
      <c r="O9" s="144">
        <f t="shared" si="4"/>
        <v>39</v>
      </c>
    </row>
    <row r="10" spans="2:18" x14ac:dyDescent="0.25">
      <c r="B10" s="325"/>
      <c r="C10" s="152">
        <v>6</v>
      </c>
      <c r="D10" s="218">
        <v>11</v>
      </c>
      <c r="E10" s="218">
        <v>9</v>
      </c>
      <c r="F10" s="219">
        <v>9</v>
      </c>
      <c r="G10" s="149">
        <f t="shared" si="1"/>
        <v>3</v>
      </c>
      <c r="H10" s="152">
        <f t="shared" si="0"/>
        <v>1</v>
      </c>
      <c r="I10" s="152">
        <f t="shared" si="0"/>
        <v>1</v>
      </c>
      <c r="J10" s="152" t="str">
        <f t="shared" si="2"/>
        <v>doublon</v>
      </c>
      <c r="K10" s="220">
        <v>3</v>
      </c>
      <c r="L10" s="220">
        <v>1.5</v>
      </c>
      <c r="M10" s="220">
        <v>1.5</v>
      </c>
      <c r="N10" s="152">
        <f t="shared" si="3"/>
        <v>6</v>
      </c>
      <c r="O10" s="144">
        <f t="shared" si="4"/>
        <v>29</v>
      </c>
    </row>
    <row r="11" spans="2:18" x14ac:dyDescent="0.25">
      <c r="B11" s="325"/>
      <c r="C11" s="152">
        <v>7</v>
      </c>
      <c r="D11" s="218">
        <v>9</v>
      </c>
      <c r="E11" s="218">
        <v>9</v>
      </c>
      <c r="F11" s="219">
        <v>8</v>
      </c>
      <c r="G11" s="149">
        <f t="shared" si="1"/>
        <v>2</v>
      </c>
      <c r="H11" s="152">
        <f t="shared" si="0"/>
        <v>2</v>
      </c>
      <c r="I11" s="152">
        <f t="shared" si="0"/>
        <v>1</v>
      </c>
      <c r="J11" s="152" t="str">
        <f t="shared" si="2"/>
        <v>doublon</v>
      </c>
      <c r="K11" s="220">
        <v>2.5</v>
      </c>
      <c r="L11" s="220">
        <v>2.5</v>
      </c>
      <c r="M11" s="220">
        <v>1</v>
      </c>
      <c r="N11" s="152">
        <f t="shared" si="3"/>
        <v>6</v>
      </c>
      <c r="O11" s="144">
        <f t="shared" si="4"/>
        <v>26</v>
      </c>
    </row>
    <row r="12" spans="2:18" x14ac:dyDescent="0.25">
      <c r="B12" s="325"/>
      <c r="C12" s="152">
        <v>8</v>
      </c>
      <c r="D12" s="218">
        <v>12</v>
      </c>
      <c r="E12" s="218">
        <v>11</v>
      </c>
      <c r="F12" s="219">
        <v>12</v>
      </c>
      <c r="G12" s="149">
        <f t="shared" si="1"/>
        <v>2</v>
      </c>
      <c r="H12" s="152">
        <f t="shared" si="0"/>
        <v>1</v>
      </c>
      <c r="I12" s="152">
        <f t="shared" si="0"/>
        <v>2</v>
      </c>
      <c r="J12" s="152" t="str">
        <f t="shared" si="2"/>
        <v>doublon</v>
      </c>
      <c r="K12" s="220">
        <v>2.5</v>
      </c>
      <c r="L12" s="220">
        <v>1</v>
      </c>
      <c r="M12" s="220">
        <v>2.5</v>
      </c>
      <c r="N12" s="152">
        <f t="shared" si="3"/>
        <v>6</v>
      </c>
      <c r="O12" s="144">
        <f t="shared" si="4"/>
        <v>35</v>
      </c>
    </row>
    <row r="13" spans="2:18" x14ac:dyDescent="0.25">
      <c r="B13" s="325"/>
      <c r="C13" s="152">
        <v>9</v>
      </c>
      <c r="D13" s="218">
        <v>9</v>
      </c>
      <c r="E13" s="218">
        <v>9</v>
      </c>
      <c r="F13" s="219">
        <v>10</v>
      </c>
      <c r="G13" s="149">
        <f t="shared" si="1"/>
        <v>1</v>
      </c>
      <c r="H13" s="152">
        <f t="shared" si="0"/>
        <v>1</v>
      </c>
      <c r="I13" s="152">
        <f t="shared" si="0"/>
        <v>3</v>
      </c>
      <c r="J13" s="152" t="str">
        <f t="shared" si="2"/>
        <v>doublon</v>
      </c>
      <c r="K13" s="220">
        <v>1.5</v>
      </c>
      <c r="L13" s="220">
        <v>1.5</v>
      </c>
      <c r="M13" s="220">
        <v>3</v>
      </c>
      <c r="N13" s="152">
        <f t="shared" si="3"/>
        <v>6</v>
      </c>
      <c r="O13" s="144">
        <f t="shared" si="4"/>
        <v>28</v>
      </c>
    </row>
    <row r="14" spans="2:18" ht="15.75" thickBot="1" x14ac:dyDescent="0.3">
      <c r="B14" s="326"/>
      <c r="C14" s="158">
        <v>10</v>
      </c>
      <c r="D14" s="221">
        <v>7</v>
      </c>
      <c r="E14" s="221">
        <v>6</v>
      </c>
      <c r="F14" s="222">
        <v>6</v>
      </c>
      <c r="G14" s="149">
        <f t="shared" si="1"/>
        <v>3</v>
      </c>
      <c r="H14" s="152">
        <f t="shared" si="0"/>
        <v>1</v>
      </c>
      <c r="I14" s="152">
        <f t="shared" si="0"/>
        <v>1</v>
      </c>
      <c r="J14" s="152" t="str">
        <f t="shared" si="2"/>
        <v>doublon</v>
      </c>
      <c r="K14" s="220">
        <v>3</v>
      </c>
      <c r="L14" s="220">
        <v>1.5</v>
      </c>
      <c r="M14" s="220">
        <v>1.5</v>
      </c>
      <c r="N14" s="152">
        <f t="shared" si="3"/>
        <v>6</v>
      </c>
      <c r="O14" s="144">
        <f t="shared" si="4"/>
        <v>19</v>
      </c>
    </row>
    <row r="15" spans="2:18" ht="15" customHeight="1" x14ac:dyDescent="0.25">
      <c r="C15" s="315" t="s">
        <v>186</v>
      </c>
      <c r="D15" s="223">
        <f>RANK(D5,D$5:D$14,1)</f>
        <v>2</v>
      </c>
      <c r="E15" s="223">
        <f t="shared" ref="E15:F15" si="5">RANK(E5,E$5:E$14,1)</f>
        <v>2</v>
      </c>
      <c r="F15" s="223">
        <f t="shared" si="5"/>
        <v>5</v>
      </c>
      <c r="G15" s="317" t="s">
        <v>236</v>
      </c>
      <c r="H15" s="152">
        <f>COUNTIF(D$15:D$24,D$15:D$24)</f>
        <v>3</v>
      </c>
      <c r="I15" s="152">
        <f t="shared" ref="I15:J24" si="6">COUNTIF(E$15:E$24,E$15:E$24)</f>
        <v>1</v>
      </c>
      <c r="J15" s="152">
        <f t="shared" si="6"/>
        <v>3</v>
      </c>
      <c r="K15" s="318" t="s">
        <v>237</v>
      </c>
      <c r="L15" s="224">
        <f>IF(H15=1,D15,IF(H15=2,D15+0.5,IF(H15=3,D15+1,IF(H15=4,D15+1.5,""))))</f>
        <v>3</v>
      </c>
      <c r="M15" s="224">
        <f t="shared" ref="M15:N24" si="7">IF(I15=1,E15,IF(I15=2,E15+0.5,IF(I15=3,E15+1,IF(I15=4,E15+1.5,""))))</f>
        <v>2</v>
      </c>
      <c r="N15" s="224">
        <f t="shared" si="7"/>
        <v>6</v>
      </c>
      <c r="O15" s="152">
        <f>SUM(L15:N15)</f>
        <v>11</v>
      </c>
    </row>
    <row r="16" spans="2:18" x14ac:dyDescent="0.25">
      <c r="C16" s="315"/>
      <c r="D16" s="152">
        <f t="shared" ref="D16:F24" si="8">RANK(D6,D$5:D$14,1)</f>
        <v>9</v>
      </c>
      <c r="E16" s="152">
        <f t="shared" si="8"/>
        <v>10</v>
      </c>
      <c r="F16" s="152">
        <f t="shared" si="8"/>
        <v>8</v>
      </c>
      <c r="G16" s="317"/>
      <c r="H16" s="152">
        <f t="shared" ref="H16:H25" si="9">COUNTIF(D$15:D$24,D$15:D$24)</f>
        <v>1</v>
      </c>
      <c r="I16" s="152">
        <f t="shared" si="6"/>
        <v>1</v>
      </c>
      <c r="J16" s="152">
        <f t="shared" si="6"/>
        <v>2</v>
      </c>
      <c r="K16" s="315"/>
      <c r="L16" s="224">
        <f>IF(H16=1,D16,IF(H16=2,D16+0.5,IF(H16=3,D16+1,IF(H16=4,D16+1.5,""))))</f>
        <v>9</v>
      </c>
      <c r="M16" s="224">
        <f t="shared" si="7"/>
        <v>10</v>
      </c>
      <c r="N16" s="224">
        <f t="shared" si="7"/>
        <v>8.5</v>
      </c>
      <c r="O16" s="152">
        <f t="shared" ref="O16:O24" si="10">SUM(L16:N16)</f>
        <v>27.5</v>
      </c>
    </row>
    <row r="17" spans="3:16" x14ac:dyDescent="0.25">
      <c r="C17" s="315"/>
      <c r="D17" s="152">
        <f t="shared" si="8"/>
        <v>7</v>
      </c>
      <c r="E17" s="152">
        <f t="shared" si="8"/>
        <v>7</v>
      </c>
      <c r="F17" s="152">
        <f t="shared" si="8"/>
        <v>5</v>
      </c>
      <c r="G17" s="317"/>
      <c r="H17" s="152">
        <f t="shared" si="9"/>
        <v>2</v>
      </c>
      <c r="I17" s="152">
        <f t="shared" si="6"/>
        <v>2</v>
      </c>
      <c r="J17" s="152">
        <f t="shared" si="6"/>
        <v>3</v>
      </c>
      <c r="K17" s="315"/>
      <c r="L17" s="224">
        <f t="shared" ref="L17:L24" si="11">IF(H17=1,D17,IF(H17=2,D17+0.5,IF(H17=3,D17+1,IF(H17=4,D17+1.5,""))))</f>
        <v>7.5</v>
      </c>
      <c r="M17" s="224">
        <f t="shared" si="7"/>
        <v>7.5</v>
      </c>
      <c r="N17" s="224">
        <f t="shared" si="7"/>
        <v>6</v>
      </c>
      <c r="O17" s="152">
        <f t="shared" si="10"/>
        <v>21</v>
      </c>
    </row>
    <row r="18" spans="3:16" x14ac:dyDescent="0.25">
      <c r="C18" s="315"/>
      <c r="D18" s="152">
        <f t="shared" si="8"/>
        <v>5</v>
      </c>
      <c r="E18" s="152">
        <f t="shared" si="8"/>
        <v>3</v>
      </c>
      <c r="F18" s="152">
        <f t="shared" si="8"/>
        <v>2</v>
      </c>
      <c r="G18" s="317"/>
      <c r="H18" s="152">
        <f t="shared" si="9"/>
        <v>1</v>
      </c>
      <c r="I18" s="152">
        <f t="shared" si="6"/>
        <v>4</v>
      </c>
      <c r="J18" s="152">
        <f t="shared" si="6"/>
        <v>2</v>
      </c>
      <c r="K18" s="315"/>
      <c r="L18" s="224">
        <f t="shared" si="11"/>
        <v>5</v>
      </c>
      <c r="M18" s="224">
        <f t="shared" si="7"/>
        <v>4.5</v>
      </c>
      <c r="N18" s="224">
        <f t="shared" si="7"/>
        <v>2.5</v>
      </c>
      <c r="O18" s="152">
        <f t="shared" si="10"/>
        <v>12</v>
      </c>
    </row>
    <row r="19" spans="3:16" x14ac:dyDescent="0.25">
      <c r="C19" s="315"/>
      <c r="D19" s="152">
        <f t="shared" si="8"/>
        <v>10</v>
      </c>
      <c r="E19" s="152">
        <f t="shared" si="8"/>
        <v>9</v>
      </c>
      <c r="F19" s="152">
        <f t="shared" si="8"/>
        <v>10</v>
      </c>
      <c r="G19" s="317"/>
      <c r="H19" s="152">
        <f t="shared" si="9"/>
        <v>1</v>
      </c>
      <c r="I19" s="152">
        <f t="shared" si="6"/>
        <v>1</v>
      </c>
      <c r="J19" s="152">
        <f t="shared" si="6"/>
        <v>1</v>
      </c>
      <c r="K19" s="315"/>
      <c r="L19" s="224">
        <f t="shared" si="11"/>
        <v>10</v>
      </c>
      <c r="M19" s="224">
        <f t="shared" si="7"/>
        <v>9</v>
      </c>
      <c r="N19" s="224">
        <f t="shared" si="7"/>
        <v>10</v>
      </c>
      <c r="O19" s="152">
        <f t="shared" si="10"/>
        <v>29</v>
      </c>
    </row>
    <row r="20" spans="3:16" x14ac:dyDescent="0.25">
      <c r="C20" s="315"/>
      <c r="D20" s="152">
        <f t="shared" si="8"/>
        <v>6</v>
      </c>
      <c r="E20" s="152">
        <f t="shared" si="8"/>
        <v>3</v>
      </c>
      <c r="F20" s="152">
        <f t="shared" si="8"/>
        <v>4</v>
      </c>
      <c r="G20" s="317"/>
      <c r="H20" s="152">
        <f t="shared" si="9"/>
        <v>1</v>
      </c>
      <c r="I20" s="152">
        <f t="shared" si="6"/>
        <v>4</v>
      </c>
      <c r="J20" s="152">
        <f t="shared" si="6"/>
        <v>1</v>
      </c>
      <c r="K20" s="315"/>
      <c r="L20" s="224">
        <f t="shared" si="11"/>
        <v>6</v>
      </c>
      <c r="M20" s="224">
        <f t="shared" si="7"/>
        <v>4.5</v>
      </c>
      <c r="N20" s="224">
        <f t="shared" si="7"/>
        <v>4</v>
      </c>
      <c r="O20" s="152">
        <f t="shared" si="10"/>
        <v>14.5</v>
      </c>
    </row>
    <row r="21" spans="3:16" x14ac:dyDescent="0.25">
      <c r="C21" s="315"/>
      <c r="D21" s="152">
        <f t="shared" si="8"/>
        <v>2</v>
      </c>
      <c r="E21" s="152">
        <f t="shared" si="8"/>
        <v>3</v>
      </c>
      <c r="F21" s="152">
        <f t="shared" si="8"/>
        <v>2</v>
      </c>
      <c r="G21" s="317"/>
      <c r="H21" s="152">
        <f t="shared" si="9"/>
        <v>3</v>
      </c>
      <c r="I21" s="152">
        <f t="shared" si="6"/>
        <v>4</v>
      </c>
      <c r="J21" s="152">
        <f t="shared" si="6"/>
        <v>2</v>
      </c>
      <c r="K21" s="315"/>
      <c r="L21" s="224">
        <f t="shared" si="11"/>
        <v>3</v>
      </c>
      <c r="M21" s="224">
        <f t="shared" si="7"/>
        <v>4.5</v>
      </c>
      <c r="N21" s="224">
        <f t="shared" si="7"/>
        <v>2.5</v>
      </c>
      <c r="O21" s="152">
        <f t="shared" si="10"/>
        <v>10</v>
      </c>
    </row>
    <row r="22" spans="3:16" x14ac:dyDescent="0.25">
      <c r="C22" s="315"/>
      <c r="D22" s="152">
        <f t="shared" si="8"/>
        <v>7</v>
      </c>
      <c r="E22" s="152">
        <f t="shared" si="8"/>
        <v>7</v>
      </c>
      <c r="F22" s="152">
        <f t="shared" si="8"/>
        <v>8</v>
      </c>
      <c r="G22" s="317"/>
      <c r="H22" s="152">
        <f t="shared" si="9"/>
        <v>2</v>
      </c>
      <c r="I22" s="152">
        <f t="shared" si="6"/>
        <v>2</v>
      </c>
      <c r="J22" s="152">
        <f t="shared" si="6"/>
        <v>2</v>
      </c>
      <c r="K22" s="315"/>
      <c r="L22" s="224">
        <f t="shared" si="11"/>
        <v>7.5</v>
      </c>
      <c r="M22" s="224">
        <f t="shared" si="7"/>
        <v>7.5</v>
      </c>
      <c r="N22" s="224">
        <f t="shared" si="7"/>
        <v>8.5</v>
      </c>
      <c r="O22" s="152">
        <f t="shared" si="10"/>
        <v>23.5</v>
      </c>
    </row>
    <row r="23" spans="3:16" x14ac:dyDescent="0.25">
      <c r="C23" s="315"/>
      <c r="D23" s="152">
        <f t="shared" si="8"/>
        <v>2</v>
      </c>
      <c r="E23" s="152">
        <f t="shared" si="8"/>
        <v>3</v>
      </c>
      <c r="F23" s="152">
        <f t="shared" si="8"/>
        <v>5</v>
      </c>
      <c r="G23" s="317"/>
      <c r="H23" s="152">
        <f t="shared" si="9"/>
        <v>3</v>
      </c>
      <c r="I23" s="152">
        <f t="shared" si="6"/>
        <v>4</v>
      </c>
      <c r="J23" s="152">
        <f t="shared" si="6"/>
        <v>3</v>
      </c>
      <c r="K23" s="315"/>
      <c r="L23" s="224">
        <f t="shared" si="11"/>
        <v>3</v>
      </c>
      <c r="M23" s="224">
        <f t="shared" si="7"/>
        <v>4.5</v>
      </c>
      <c r="N23" s="224">
        <f t="shared" si="7"/>
        <v>6</v>
      </c>
      <c r="O23" s="152">
        <f t="shared" si="10"/>
        <v>13.5</v>
      </c>
    </row>
    <row r="24" spans="3:16" x14ac:dyDescent="0.25">
      <c r="C24" s="316"/>
      <c r="D24" s="152">
        <f t="shared" si="8"/>
        <v>1</v>
      </c>
      <c r="E24" s="152">
        <f t="shared" si="8"/>
        <v>1</v>
      </c>
      <c r="F24" s="152">
        <f t="shared" si="8"/>
        <v>1</v>
      </c>
      <c r="G24" s="317"/>
      <c r="H24" s="152">
        <f t="shared" si="9"/>
        <v>1</v>
      </c>
      <c r="I24" s="152">
        <f t="shared" si="6"/>
        <v>1</v>
      </c>
      <c r="J24" s="152">
        <f t="shared" si="6"/>
        <v>1</v>
      </c>
      <c r="K24" s="316"/>
      <c r="L24" s="224">
        <f t="shared" si="11"/>
        <v>1</v>
      </c>
      <c r="M24" s="224">
        <f t="shared" si="7"/>
        <v>1</v>
      </c>
      <c r="N24" s="224">
        <f t="shared" si="7"/>
        <v>1</v>
      </c>
      <c r="O24" s="152">
        <f t="shared" si="10"/>
        <v>3</v>
      </c>
    </row>
    <row r="25" spans="3:16" x14ac:dyDescent="0.25">
      <c r="D25" s="144"/>
      <c r="E25" s="144"/>
      <c r="F25" s="144"/>
      <c r="G25" s="225"/>
      <c r="H25" s="144">
        <f t="shared" si="9"/>
        <v>0</v>
      </c>
      <c r="I25" s="144"/>
      <c r="J25" s="226"/>
      <c r="K25" s="144"/>
      <c r="L25" s="227" t="str">
        <f>IF(H25=1,F25,IF(H25=2,F25+0.5,IF(H25=3,F25+1,IF(H25=4,F25+1.5,""))))</f>
        <v/>
      </c>
      <c r="M25" s="228"/>
      <c r="O25" s="152" t="s">
        <v>184</v>
      </c>
    </row>
    <row r="26" spans="3:16" x14ac:dyDescent="0.25">
      <c r="C26" s="152" t="s">
        <v>238</v>
      </c>
      <c r="D26" s="152">
        <f>COUNT(D5:F5)</f>
        <v>3</v>
      </c>
    </row>
    <row r="27" spans="3:16" x14ac:dyDescent="0.25">
      <c r="C27" s="152" t="s">
        <v>239</v>
      </c>
      <c r="D27" s="152">
        <f>COUNT(D5:D14)</f>
        <v>10</v>
      </c>
    </row>
    <row r="29" spans="3:16" x14ac:dyDescent="0.25">
      <c r="C29" t="s">
        <v>240</v>
      </c>
      <c r="K29" t="s">
        <v>241</v>
      </c>
    </row>
    <row r="30" spans="3:16" x14ac:dyDescent="0.25">
      <c r="C30" s="152" t="s">
        <v>242</v>
      </c>
      <c r="D30" s="152">
        <f>12/(D26*D27*(D26+1))*(K4^2+L4^2+M4^2)-3*D27*(D26+1)</f>
        <v>5.4500000000000028</v>
      </c>
      <c r="G30" s="152" t="s">
        <v>197</v>
      </c>
      <c r="H30" s="152" t="s">
        <v>5</v>
      </c>
      <c r="K30" s="152" t="s">
        <v>242</v>
      </c>
      <c r="L30" s="229">
        <f>12/(D27*D26*(D27+1))*(O15^2+O16^2+O17^2+O18^2+O19^2+O20^2+O21^2+O22^2+O23^2+O24^2)-3*D26*(D27+1)</f>
        <v>23.072727272727263</v>
      </c>
      <c r="O30" s="152" t="s">
        <v>197</v>
      </c>
      <c r="P30" s="152" t="s">
        <v>5</v>
      </c>
    </row>
    <row r="31" spans="3:16" x14ac:dyDescent="0.25">
      <c r="C31" s="152" t="s">
        <v>243</v>
      </c>
      <c r="D31" s="152">
        <f>1-((G31*(H31^3-H31)+G32*(H32^3-H32))/(D27*(D26^3-3)))</f>
        <v>0.85</v>
      </c>
      <c r="F31" s="230" t="s">
        <v>244</v>
      </c>
      <c r="G31" s="152">
        <f>COUNTIF(J5:J14,"doublon")</f>
        <v>6</v>
      </c>
      <c r="H31" s="152">
        <v>2</v>
      </c>
      <c r="K31" s="152" t="s">
        <v>243</v>
      </c>
      <c r="L31" s="229">
        <f>1-(O31*(P31^3-P31)+O32*(P32^3-P32)+O33*(P33^3-P33))/(D26*(D27^3-D27))</f>
        <v>0.9555555555555556</v>
      </c>
      <c r="N31" s="230" t="s">
        <v>244</v>
      </c>
      <c r="O31" s="152">
        <f>(COUNTIF(H15:J24,2))/2</f>
        <v>4</v>
      </c>
      <c r="P31" s="152">
        <v>2</v>
      </c>
    </row>
    <row r="32" spans="3:16" x14ac:dyDescent="0.25">
      <c r="C32" s="152" t="s">
        <v>198</v>
      </c>
      <c r="D32" s="229">
        <f>D30/D31</f>
        <v>6.4117647058823568</v>
      </c>
      <c r="F32" s="230" t="s">
        <v>245</v>
      </c>
      <c r="G32" s="152">
        <f>COUNTIF(J5:J14,"triplon")</f>
        <v>0</v>
      </c>
      <c r="H32" s="152">
        <v>3</v>
      </c>
      <c r="K32" s="152" t="s">
        <v>198</v>
      </c>
      <c r="L32" s="229">
        <f>L30/L31</f>
        <v>24.145877378435507</v>
      </c>
      <c r="N32" s="230" t="s">
        <v>245</v>
      </c>
      <c r="O32" s="152">
        <f>(COUNTIF(H15:J24,3))/3</f>
        <v>2</v>
      </c>
      <c r="P32" s="152">
        <v>3</v>
      </c>
    </row>
    <row r="33" spans="3:16" x14ac:dyDescent="0.25">
      <c r="C33" s="152" t="s">
        <v>246</v>
      </c>
      <c r="D33" s="229">
        <f>_xlfn.CHISQ.INV(0.95,2)</f>
        <v>5.9914645471079799</v>
      </c>
      <c r="K33" s="152" t="s">
        <v>246</v>
      </c>
      <c r="L33" s="229">
        <f>_xlfn.CHISQ.INV(0.95,9)</f>
        <v>16.918977604620448</v>
      </c>
      <c r="N33" s="230" t="s">
        <v>247</v>
      </c>
      <c r="O33" s="152">
        <f>(COUNTIF(H15:J24,4))/4</f>
        <v>1</v>
      </c>
      <c r="P33" s="152">
        <v>4</v>
      </c>
    </row>
    <row r="34" spans="3:16" x14ac:dyDescent="0.25">
      <c r="C34" s="152" t="s">
        <v>248</v>
      </c>
      <c r="D34" s="231" t="str">
        <f>IF(D32&lt;D33,"OK","Différence")</f>
        <v>Différence</v>
      </c>
      <c r="K34" s="152" t="s">
        <v>248</v>
      </c>
      <c r="L34" s="231" t="str">
        <f>IF(L32&lt;L33,"OK","Différence")</f>
        <v>Différence</v>
      </c>
    </row>
    <row r="35" spans="3:16" x14ac:dyDescent="0.25">
      <c r="C35" t="s">
        <v>249</v>
      </c>
      <c r="K35" t="s">
        <v>250</v>
      </c>
    </row>
  </sheetData>
  <mergeCells count="8">
    <mergeCell ref="C15:C24"/>
    <mergeCell ref="G15:G24"/>
    <mergeCell ref="K15:K24"/>
    <mergeCell ref="B3:C4"/>
    <mergeCell ref="D3:F3"/>
    <mergeCell ref="K3:M3"/>
    <mergeCell ref="G4:I4"/>
    <mergeCell ref="B5:B14"/>
  </mergeCells>
  <conditionalFormatting sqref="J5:J14">
    <cfRule type="cellIs" dxfId="3" priority="3" operator="equal">
      <formula>6</formula>
    </cfRule>
    <cfRule type="cellIs" dxfId="2" priority="4" operator="equal">
      <formula>5</formula>
    </cfRule>
  </conditionalFormatting>
  <conditionalFormatting sqref="N5:N14">
    <cfRule type="cellIs" dxfId="1" priority="1" operator="equal">
      <formula>6</formula>
    </cfRule>
    <cfRule type="cellIs" dxfId="0" priority="2" operator="equal">
      <formula>5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D73FC-4348-4771-86A5-75328F56BF8E}">
  <dimension ref="B2:K36"/>
  <sheetViews>
    <sheetView showGridLines="0" zoomScale="85" zoomScaleNormal="85" workbookViewId="0">
      <selection activeCell="B9" sqref="B9"/>
    </sheetView>
  </sheetViews>
  <sheetFormatPr baseColWidth="10" defaultColWidth="11.42578125" defaultRowHeight="15" x14ac:dyDescent="0.25"/>
  <cols>
    <col min="3" max="3" width="7" customWidth="1"/>
    <col min="5" max="5" width="12.42578125" customWidth="1"/>
    <col min="9" max="9" width="13" customWidth="1"/>
  </cols>
  <sheetData>
    <row r="2" spans="2:9" x14ac:dyDescent="0.25">
      <c r="B2" s="140" t="s">
        <v>252</v>
      </c>
    </row>
    <row r="3" spans="2:9" x14ac:dyDescent="0.25">
      <c r="B3" s="140"/>
      <c r="D3" t="s">
        <v>253</v>
      </c>
    </row>
    <row r="5" spans="2:9" x14ac:dyDescent="0.25">
      <c r="D5" s="302" t="s">
        <v>254</v>
      </c>
      <c r="E5" s="303"/>
      <c r="F5" s="303"/>
      <c r="G5" s="303"/>
      <c r="H5" s="304"/>
    </row>
    <row r="6" spans="2:9" x14ac:dyDescent="0.25">
      <c r="D6" s="152" t="s">
        <v>255</v>
      </c>
      <c r="E6" s="152" t="s">
        <v>256</v>
      </c>
      <c r="F6" s="152" t="s">
        <v>257</v>
      </c>
      <c r="G6" s="152" t="s">
        <v>258</v>
      </c>
      <c r="H6" s="152" t="s">
        <v>259</v>
      </c>
      <c r="I6" s="152" t="s">
        <v>9</v>
      </c>
    </row>
    <row r="7" spans="2:9" x14ac:dyDescent="0.25">
      <c r="C7" s="327" t="s">
        <v>260</v>
      </c>
      <c r="D7" s="152" t="s">
        <v>261</v>
      </c>
      <c r="E7" s="218">
        <v>50</v>
      </c>
      <c r="F7" s="218">
        <v>70</v>
      </c>
      <c r="G7" s="218">
        <v>110</v>
      </c>
      <c r="H7" s="218">
        <v>60</v>
      </c>
      <c r="I7" s="152">
        <f>SUM(E7:H7)</f>
        <v>290</v>
      </c>
    </row>
    <row r="8" spans="2:9" x14ac:dyDescent="0.25">
      <c r="C8" s="328"/>
      <c r="D8" s="152" t="s">
        <v>262</v>
      </c>
      <c r="E8" s="218">
        <v>60</v>
      </c>
      <c r="F8" s="218">
        <v>75</v>
      </c>
      <c r="G8" s="218">
        <v>100</v>
      </c>
      <c r="H8" s="218">
        <v>50</v>
      </c>
      <c r="I8" s="152">
        <f t="shared" ref="I8:I9" si="0">SUM(E8:H8)</f>
        <v>285</v>
      </c>
    </row>
    <row r="9" spans="2:9" x14ac:dyDescent="0.25">
      <c r="D9" s="152" t="s">
        <v>9</v>
      </c>
      <c r="E9" s="152">
        <f>SUM(E7:E8)</f>
        <v>110</v>
      </c>
      <c r="F9" s="152">
        <f t="shared" ref="F9:H9" si="1">SUM(F7:F8)</f>
        <v>145</v>
      </c>
      <c r="G9" s="152">
        <f t="shared" si="1"/>
        <v>210</v>
      </c>
      <c r="H9" s="152">
        <f t="shared" si="1"/>
        <v>110</v>
      </c>
      <c r="I9" s="152">
        <f t="shared" si="0"/>
        <v>575</v>
      </c>
    </row>
    <row r="10" spans="2:9" x14ac:dyDescent="0.25">
      <c r="D10" s="152" t="s">
        <v>3</v>
      </c>
      <c r="E10" s="152">
        <f>(COUNT(E7:H7)-1)*(COUNT(E7:E8)-1)</f>
        <v>3</v>
      </c>
    </row>
    <row r="11" spans="2:9" x14ac:dyDescent="0.25">
      <c r="D11" s="152" t="s">
        <v>263</v>
      </c>
      <c r="E11" s="229">
        <f>_xlfn.CHISQ.INV(0.95,E10)</f>
        <v>7.8147279032511774</v>
      </c>
      <c r="F11" t="s">
        <v>264</v>
      </c>
    </row>
    <row r="12" spans="2:9" x14ac:dyDescent="0.25">
      <c r="D12" s="152" t="s">
        <v>265</v>
      </c>
      <c r="E12" s="229">
        <f>I24</f>
        <v>2.4234910773492655</v>
      </c>
      <c r="F12" t="s">
        <v>266</v>
      </c>
    </row>
    <row r="14" spans="2:9" x14ac:dyDescent="0.25">
      <c r="D14" t="s">
        <v>267</v>
      </c>
    </row>
    <row r="15" spans="2:9" x14ac:dyDescent="0.25">
      <c r="D15" s="152" t="s">
        <v>255</v>
      </c>
      <c r="E15" s="152" t="s">
        <v>256</v>
      </c>
      <c r="F15" s="152" t="s">
        <v>257</v>
      </c>
      <c r="G15" s="152" t="s">
        <v>258</v>
      </c>
      <c r="H15" s="152" t="s">
        <v>259</v>
      </c>
      <c r="I15" s="152" t="s">
        <v>9</v>
      </c>
    </row>
    <row r="16" spans="2:9" x14ac:dyDescent="0.25">
      <c r="D16" s="152" t="s">
        <v>261</v>
      </c>
      <c r="E16" s="229">
        <f>E18/I18*I16</f>
        <v>55.478260869565219</v>
      </c>
      <c r="F16" s="229">
        <f>F18/I18*I16</f>
        <v>73.130434782608688</v>
      </c>
      <c r="G16" s="229">
        <f>G18/I18*I16</f>
        <v>105.91304347826087</v>
      </c>
      <c r="H16" s="229">
        <f>H18/I18*I16</f>
        <v>55.478260869565219</v>
      </c>
      <c r="I16" s="152">
        <f>I7</f>
        <v>290</v>
      </c>
    </row>
    <row r="17" spans="2:11" x14ac:dyDescent="0.25">
      <c r="D17" s="152" t="s">
        <v>262</v>
      </c>
      <c r="E17" s="229">
        <f>E18/$I$18*$I$17</f>
        <v>54.521739130434781</v>
      </c>
      <c r="F17" s="229">
        <f t="shared" ref="F17:H17" si="2">F18/$I$18*$I$17</f>
        <v>71.869565217391298</v>
      </c>
      <c r="G17" s="229">
        <f t="shared" si="2"/>
        <v>104.08695652173913</v>
      </c>
      <c r="H17" s="229">
        <f t="shared" si="2"/>
        <v>54.521739130434781</v>
      </c>
      <c r="I17" s="152">
        <f t="shared" ref="I17:I18" si="3">I8</f>
        <v>285</v>
      </c>
    </row>
    <row r="18" spans="2:11" x14ac:dyDescent="0.25">
      <c r="D18" s="152" t="s">
        <v>9</v>
      </c>
      <c r="E18" s="152">
        <f>E9</f>
        <v>110</v>
      </c>
      <c r="F18" s="152">
        <f t="shared" ref="F18:H18" si="4">F9</f>
        <v>145</v>
      </c>
      <c r="G18" s="152">
        <f t="shared" si="4"/>
        <v>210</v>
      </c>
      <c r="H18" s="152">
        <f t="shared" si="4"/>
        <v>110</v>
      </c>
      <c r="I18" s="152">
        <f t="shared" si="3"/>
        <v>575</v>
      </c>
    </row>
    <row r="20" spans="2:11" x14ac:dyDescent="0.25">
      <c r="D20" s="144" t="s">
        <v>268</v>
      </c>
    </row>
    <row r="21" spans="2:11" x14ac:dyDescent="0.25">
      <c r="D21" s="152" t="s">
        <v>255</v>
      </c>
      <c r="E21" s="152" t="s">
        <v>256</v>
      </c>
      <c r="F21" s="152" t="s">
        <v>257</v>
      </c>
      <c r="G21" s="152" t="s">
        <v>258</v>
      </c>
      <c r="H21" s="152" t="s">
        <v>259</v>
      </c>
      <c r="I21" s="152" t="s">
        <v>9</v>
      </c>
    </row>
    <row r="22" spans="2:11" x14ac:dyDescent="0.25">
      <c r="D22" s="152" t="s">
        <v>261</v>
      </c>
      <c r="E22" s="229">
        <f>(E7-E16)^2/E16</f>
        <v>0.5409567943301079</v>
      </c>
      <c r="F22" s="229">
        <f t="shared" ref="E22:H23" si="5">(F7-F16)^2/F16</f>
        <v>0.13400196453497326</v>
      </c>
      <c r="G22" s="229">
        <f t="shared" si="5"/>
        <v>0.15770686085528623</v>
      </c>
      <c r="H22" s="229">
        <f t="shared" si="5"/>
        <v>0.36854300122665917</v>
      </c>
      <c r="I22" s="229">
        <f>SUM(E22:H22)</f>
        <v>1.2012086209470265</v>
      </c>
    </row>
    <row r="23" spans="2:11" x14ac:dyDescent="0.25">
      <c r="D23" s="152" t="s">
        <v>262</v>
      </c>
      <c r="E23" s="229">
        <f t="shared" si="5"/>
        <v>0.55044726440607472</v>
      </c>
      <c r="F23" s="229">
        <f t="shared" si="5"/>
        <v>0.1363528761934828</v>
      </c>
      <c r="G23" s="229">
        <f t="shared" si="5"/>
        <v>0.16047364788783514</v>
      </c>
      <c r="H23" s="229">
        <f t="shared" si="5"/>
        <v>0.37500866791484622</v>
      </c>
      <c r="I23" s="229">
        <f>SUM(E23:H23)</f>
        <v>1.222282456402239</v>
      </c>
    </row>
    <row r="24" spans="2:11" x14ac:dyDescent="0.25">
      <c r="D24" s="152" t="s">
        <v>9</v>
      </c>
      <c r="E24" s="229">
        <f>SUM(E22:E23)</f>
        <v>1.0914040587361826</v>
      </c>
      <c r="F24" s="229">
        <f t="shared" ref="F24:I24" si="6">SUM(F22:F23)</f>
        <v>0.27035484072845606</v>
      </c>
      <c r="G24" s="229">
        <f t="shared" si="6"/>
        <v>0.31818050874312137</v>
      </c>
      <c r="H24" s="229">
        <f t="shared" si="6"/>
        <v>0.74355166914150539</v>
      </c>
      <c r="I24" s="233">
        <f t="shared" si="6"/>
        <v>2.4234910773492655</v>
      </c>
    </row>
    <row r="25" spans="2:11" x14ac:dyDescent="0.25">
      <c r="B25" s="234"/>
      <c r="C25" s="234"/>
      <c r="D25" s="235" t="s">
        <v>269</v>
      </c>
      <c r="E25" s="234"/>
      <c r="F25" s="234"/>
      <c r="G25" s="234"/>
      <c r="H25" s="234"/>
      <c r="I25" s="234"/>
      <c r="J25" s="234"/>
    </row>
    <row r="26" spans="2:11" x14ac:dyDescent="0.25">
      <c r="B26" s="140" t="s">
        <v>270</v>
      </c>
    </row>
    <row r="27" spans="2:11" x14ac:dyDescent="0.25">
      <c r="C27" t="s">
        <v>271</v>
      </c>
      <c r="D27" s="144"/>
      <c r="K27" s="236"/>
    </row>
    <row r="28" spans="2:11" x14ac:dyDescent="0.25">
      <c r="D28" s="236"/>
      <c r="E28" s="237"/>
      <c r="F28" s="237"/>
      <c r="K28" s="236"/>
    </row>
    <row r="29" spans="2:11" x14ac:dyDescent="0.25">
      <c r="D29" s="152" t="s">
        <v>272</v>
      </c>
      <c r="E29" s="152" t="s">
        <v>273</v>
      </c>
      <c r="F29" s="229" t="s">
        <v>274</v>
      </c>
      <c r="G29" s="152" t="s">
        <v>275</v>
      </c>
      <c r="H29" s="152" t="s">
        <v>276</v>
      </c>
      <c r="I29" s="152" t="s">
        <v>277</v>
      </c>
    </row>
    <row r="30" spans="2:11" x14ac:dyDescent="0.25">
      <c r="D30" s="152" t="s">
        <v>278</v>
      </c>
      <c r="E30" s="218">
        <v>56</v>
      </c>
      <c r="F30" s="152">
        <f>F34/COUNT(E30:E33)</f>
        <v>55</v>
      </c>
      <c r="G30" s="152">
        <f>E30-F30</f>
        <v>1</v>
      </c>
      <c r="H30" s="152">
        <f>G30^2</f>
        <v>1</v>
      </c>
      <c r="I30" s="229">
        <f>H30/F30</f>
        <v>1.8181818181818181E-2</v>
      </c>
    </row>
    <row r="31" spans="2:11" x14ac:dyDescent="0.25">
      <c r="D31" s="152" t="s">
        <v>279</v>
      </c>
      <c r="E31" s="218">
        <v>66</v>
      </c>
      <c r="F31" s="152">
        <f>F30</f>
        <v>55</v>
      </c>
      <c r="G31" s="152">
        <f t="shared" ref="G31:G33" si="7">E31-F31</f>
        <v>11</v>
      </c>
      <c r="H31" s="152">
        <f t="shared" ref="H31:H33" si="8">G31^2</f>
        <v>121</v>
      </c>
      <c r="I31" s="229">
        <f t="shared" ref="I31:I33" si="9">H31/F31</f>
        <v>2.2000000000000002</v>
      </c>
    </row>
    <row r="32" spans="2:11" x14ac:dyDescent="0.25">
      <c r="D32" s="152" t="s">
        <v>280</v>
      </c>
      <c r="E32" s="218">
        <v>44</v>
      </c>
      <c r="F32" s="152">
        <f>F31</f>
        <v>55</v>
      </c>
      <c r="G32" s="152">
        <f t="shared" si="7"/>
        <v>-11</v>
      </c>
      <c r="H32" s="152">
        <f t="shared" si="8"/>
        <v>121</v>
      </c>
      <c r="I32" s="229">
        <f t="shared" si="9"/>
        <v>2.2000000000000002</v>
      </c>
      <c r="K32" s="144"/>
    </row>
    <row r="33" spans="3:10" ht="15.75" thickBot="1" x14ac:dyDescent="0.3">
      <c r="D33" s="152" t="s">
        <v>281</v>
      </c>
      <c r="E33" s="218">
        <v>54</v>
      </c>
      <c r="F33" s="152">
        <f>F32</f>
        <v>55</v>
      </c>
      <c r="G33" s="152">
        <f t="shared" si="7"/>
        <v>-1</v>
      </c>
      <c r="H33" s="152">
        <f t="shared" si="8"/>
        <v>1</v>
      </c>
      <c r="I33" s="238">
        <f t="shared" si="9"/>
        <v>1.8181818181818181E-2</v>
      </c>
    </row>
    <row r="34" spans="3:10" ht="15.75" thickBot="1" x14ac:dyDescent="0.3">
      <c r="D34" s="152" t="s">
        <v>184</v>
      </c>
      <c r="E34" s="152">
        <f>SUM(E30:E33)</f>
        <v>220</v>
      </c>
      <c r="F34" s="152">
        <f>E34</f>
        <v>220</v>
      </c>
      <c r="G34" s="152">
        <f t="shared" ref="G34:I34" si="10">SUM(G30:G33)</f>
        <v>0</v>
      </c>
      <c r="H34" s="239">
        <f t="shared" si="10"/>
        <v>244</v>
      </c>
      <c r="I34" s="240">
        <f t="shared" si="10"/>
        <v>4.4363636363636365</v>
      </c>
      <c r="J34" s="241" t="s">
        <v>282</v>
      </c>
    </row>
    <row r="35" spans="3:10" ht="15.75" thickBot="1" x14ac:dyDescent="0.3">
      <c r="I35" s="240">
        <f>CHIINV(0.05,COUNT(E30:E33)-1)</f>
        <v>7.8147279032511792</v>
      </c>
      <c r="J35" s="241" t="s">
        <v>283</v>
      </c>
    </row>
    <row r="36" spans="3:10" x14ac:dyDescent="0.25">
      <c r="C36" t="s">
        <v>284</v>
      </c>
      <c r="I36" t="s">
        <v>285</v>
      </c>
    </row>
  </sheetData>
  <mergeCells count="2">
    <mergeCell ref="D5:H5"/>
    <mergeCell ref="C7:C8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DECAB-2CD1-44FB-8840-F94B5E5A94F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</sheetPr>
  <dimension ref="A1:K36"/>
  <sheetViews>
    <sheetView workbookViewId="0">
      <selection activeCell="C4" sqref="C4"/>
    </sheetView>
  </sheetViews>
  <sheetFormatPr baseColWidth="10" defaultColWidth="10.42578125" defaultRowHeight="12" x14ac:dyDescent="0.2"/>
  <cols>
    <col min="1" max="1" width="7.42578125" style="14" customWidth="1"/>
    <col min="2" max="2" width="24.42578125" style="14" customWidth="1"/>
    <col min="3" max="7" width="12.7109375" style="14" bestFit="1" customWidth="1"/>
    <col min="8" max="16384" width="10.42578125" style="14"/>
  </cols>
  <sheetData>
    <row r="1" spans="1:11" s="13" customFormat="1" ht="13.5" thickBot="1" x14ac:dyDescent="0.25">
      <c r="B1" s="3" t="s">
        <v>28</v>
      </c>
    </row>
    <row r="2" spans="1:11" ht="12.75" thickBot="1" x14ac:dyDescent="0.25">
      <c r="B2" s="14" t="s">
        <v>29</v>
      </c>
      <c r="C2" s="15" t="e">
        <f>#REF!</f>
        <v>#REF!</v>
      </c>
      <c r="E2" s="14">
        <v>20</v>
      </c>
      <c r="F2" s="14">
        <v>100</v>
      </c>
    </row>
    <row r="3" spans="1:11" ht="15.75" thickBot="1" x14ac:dyDescent="0.3">
      <c r="B3" s="14" t="s">
        <v>30</v>
      </c>
      <c r="C3" s="16" t="e">
        <f>#REF!</f>
        <v>#REF!</v>
      </c>
      <c r="E3" s="14">
        <v>0.01</v>
      </c>
      <c r="F3" s="14">
        <f>E3*F2/E2</f>
        <v>0.05</v>
      </c>
    </row>
    <row r="5" spans="1:11" x14ac:dyDescent="0.2">
      <c r="B5" s="17" t="s">
        <v>31</v>
      </c>
      <c r="C5" s="17" t="s">
        <v>16</v>
      </c>
      <c r="D5" s="17" t="s">
        <v>24</v>
      </c>
      <c r="E5" s="17" t="s">
        <v>25</v>
      </c>
      <c r="F5" s="17" t="s">
        <v>26</v>
      </c>
      <c r="G5" s="17" t="s">
        <v>27</v>
      </c>
    </row>
    <row r="6" spans="1:11" s="18" customFormat="1" x14ac:dyDescent="0.2">
      <c r="A6" s="18">
        <v>2</v>
      </c>
      <c r="B6" s="32" t="s">
        <v>40</v>
      </c>
      <c r="C6" s="19">
        <f>'80%'!B2</f>
        <v>80</v>
      </c>
      <c r="D6" s="19">
        <f>'90%'!B2</f>
        <v>90</v>
      </c>
      <c r="E6" s="19">
        <f>'100%'!B2</f>
        <v>100</v>
      </c>
      <c r="F6" s="34">
        <f>'110%'!B2</f>
        <v>110</v>
      </c>
      <c r="G6" s="19">
        <f>'120%'!B2</f>
        <v>120</v>
      </c>
    </row>
    <row r="7" spans="1:11" x14ac:dyDescent="0.2">
      <c r="A7" s="14">
        <v>30</v>
      </c>
      <c r="B7" s="33" t="s">
        <v>41</v>
      </c>
      <c r="C7" s="20" t="e">
        <f>'80%'!B22</f>
        <v>#REF!</v>
      </c>
      <c r="D7" s="20" t="e">
        <f>'90%'!B22</f>
        <v>#REF!</v>
      </c>
      <c r="E7" s="20" t="e">
        <f>'100%'!B22</f>
        <v>#REF!</v>
      </c>
      <c r="F7" s="20" t="e">
        <f>'110%'!B22</f>
        <v>#REF!</v>
      </c>
      <c r="G7" s="20" t="e">
        <f>'120%'!B22</f>
        <v>#REF!</v>
      </c>
      <c r="K7" s="21" t="str">
        <f>ADDRESS($A8,2,,,C$5)</f>
        <v>'Niveau A'!$B$31</v>
      </c>
    </row>
    <row r="8" spans="1:11" x14ac:dyDescent="0.2">
      <c r="A8" s="14">
        <v>31</v>
      </c>
      <c r="B8" s="33" t="s">
        <v>42</v>
      </c>
      <c r="C8" s="20" t="e">
        <f>'80%'!B23</f>
        <v>#DIV/0!</v>
      </c>
      <c r="D8" s="20" t="e">
        <f>'90%'!B23</f>
        <v>#DIV/0!</v>
      </c>
      <c r="E8" s="20" t="e">
        <f>'100%'!B23</f>
        <v>#DIV/0!</v>
      </c>
      <c r="F8" s="20" t="e">
        <f>'110%'!B23</f>
        <v>#DIV/0!</v>
      </c>
      <c r="G8" s="20" t="e">
        <f>'120%'!B23</f>
        <v>#DIV/0!</v>
      </c>
    </row>
    <row r="9" spans="1:11" x14ac:dyDescent="0.2">
      <c r="A9" s="14">
        <v>32</v>
      </c>
      <c r="B9" s="33" t="s">
        <v>43</v>
      </c>
      <c r="C9" s="20" t="e">
        <f>'80%'!B24</f>
        <v>#REF!</v>
      </c>
      <c r="D9" s="20" t="e">
        <f>'90%'!B24</f>
        <v>#REF!</v>
      </c>
      <c r="E9" s="20" t="e">
        <f>'100%'!B24</f>
        <v>#REF!</v>
      </c>
      <c r="F9" s="20" t="e">
        <f>'110%'!B24</f>
        <v>#REF!</v>
      </c>
      <c r="G9" s="20" t="e">
        <f>'120%'!B24</f>
        <v>#REF!</v>
      </c>
      <c r="H9" s="2"/>
    </row>
    <row r="10" spans="1:11" x14ac:dyDescent="0.2">
      <c r="A10" s="14">
        <v>33</v>
      </c>
      <c r="B10" s="33" t="s">
        <v>44</v>
      </c>
      <c r="C10" s="20" t="e">
        <f>'80%'!B25</f>
        <v>#DIV/0!</v>
      </c>
      <c r="D10" s="20" t="e">
        <f>'90%'!B25</f>
        <v>#DIV/0!</v>
      </c>
      <c r="E10" s="20" t="e">
        <f>'100%'!B25</f>
        <v>#DIV/0!</v>
      </c>
      <c r="F10" s="20" t="e">
        <f>'110%'!B25</f>
        <v>#DIV/0!</v>
      </c>
      <c r="G10" s="20" t="e">
        <f>'120%'!B25</f>
        <v>#DIV/0!</v>
      </c>
    </row>
    <row r="11" spans="1:11" x14ac:dyDescent="0.2">
      <c r="A11" s="14">
        <v>37</v>
      </c>
      <c r="B11" s="33" t="s">
        <v>45</v>
      </c>
      <c r="C11" s="20" t="e">
        <f>'80%'!B29</f>
        <v>#REF!</v>
      </c>
      <c r="D11" s="20" t="e">
        <f>'90%'!B29</f>
        <v>#REF!</v>
      </c>
      <c r="E11" s="20" t="e">
        <f>'100%'!B29</f>
        <v>#REF!</v>
      </c>
      <c r="F11" s="20" t="e">
        <f>'110%'!B29</f>
        <v>#REF!</v>
      </c>
      <c r="G11" s="20" t="e">
        <f>'120%'!B29</f>
        <v>#REF!</v>
      </c>
    </row>
    <row r="12" spans="1:11" x14ac:dyDescent="0.2">
      <c r="A12" s="14">
        <v>39</v>
      </c>
      <c r="B12" s="33" t="s">
        <v>46</v>
      </c>
      <c r="C12" s="20" t="e">
        <f>'80%'!B31</f>
        <v>#REF!</v>
      </c>
      <c r="D12" s="20" t="e">
        <f>'90%'!B31</f>
        <v>#REF!</v>
      </c>
      <c r="E12" s="20" t="e">
        <f>'100%'!B31</f>
        <v>#REF!</v>
      </c>
      <c r="F12" s="20" t="e">
        <f>'110%'!B31</f>
        <v>#REF!</v>
      </c>
      <c r="G12" s="20" t="e">
        <f>'120%'!B31</f>
        <v>#REF!</v>
      </c>
    </row>
    <row r="13" spans="1:11" x14ac:dyDescent="0.2">
      <c r="A13" s="14">
        <v>40</v>
      </c>
      <c r="B13" s="33" t="s">
        <v>47</v>
      </c>
      <c r="C13" s="20" t="e">
        <f>'80%'!B32</f>
        <v>#REF!</v>
      </c>
      <c r="D13" s="20" t="e">
        <f>'90%'!B32</f>
        <v>#REF!</v>
      </c>
      <c r="E13" s="20" t="e">
        <f>'100%'!B32</f>
        <v>#REF!</v>
      </c>
      <c r="F13" s="20" t="e">
        <f>'110%'!B32</f>
        <v>#REF!</v>
      </c>
      <c r="G13" s="20" t="e">
        <f>'120%'!B32</f>
        <v>#REF!</v>
      </c>
    </row>
    <row r="14" spans="1:11" x14ac:dyDescent="0.2">
      <c r="A14" s="14">
        <v>47</v>
      </c>
      <c r="B14" s="33" t="s">
        <v>48</v>
      </c>
      <c r="C14" s="20" t="e">
        <f>'80%'!B39</f>
        <v>#REF!</v>
      </c>
      <c r="D14" s="20" t="e">
        <f>'90%'!B39</f>
        <v>#REF!</v>
      </c>
      <c r="E14" s="20" t="e">
        <f>'100%'!B39</f>
        <v>#REF!</v>
      </c>
      <c r="F14" s="20" t="e">
        <f>'110%'!B39</f>
        <v>#REF!</v>
      </c>
      <c r="G14" s="20" t="e">
        <f>'120%'!B39</f>
        <v>#REF!</v>
      </c>
    </row>
    <row r="15" spans="1:11" x14ac:dyDescent="0.2">
      <c r="A15" s="14">
        <v>48</v>
      </c>
      <c r="B15" s="33" t="s">
        <v>49</v>
      </c>
      <c r="C15" s="20" t="e">
        <f>'80%'!B40</f>
        <v>#REF!</v>
      </c>
      <c r="D15" s="20" t="e">
        <f>'90%'!B40</f>
        <v>#REF!</v>
      </c>
      <c r="E15" s="20" t="e">
        <f>'100%'!B40</f>
        <v>#REF!</v>
      </c>
      <c r="F15" s="20" t="e">
        <f>'110%'!B40</f>
        <v>#REF!</v>
      </c>
      <c r="G15" s="20" t="e">
        <f>'120%'!B40</f>
        <v>#REF!</v>
      </c>
    </row>
    <row r="16" spans="1:11" x14ac:dyDescent="0.2">
      <c r="A16" s="14">
        <v>35</v>
      </c>
      <c r="B16" s="33" t="s">
        <v>50</v>
      </c>
      <c r="C16" s="22" t="e">
        <f>'80%'!B27</f>
        <v>#REF!</v>
      </c>
      <c r="D16" s="22" t="e">
        <f>'90%'!B27</f>
        <v>#REF!</v>
      </c>
      <c r="E16" s="22" t="e">
        <f>'100%'!B27</f>
        <v>#REF!</v>
      </c>
      <c r="F16" s="22" t="e">
        <f>'110%'!B27</f>
        <v>#REF!</v>
      </c>
      <c r="G16" s="22" t="e">
        <f>'120%'!B27</f>
        <v>#REF!</v>
      </c>
    </row>
    <row r="17" spans="2:7" s="18" customFormat="1" x14ac:dyDescent="0.2">
      <c r="B17" s="19" t="s">
        <v>32</v>
      </c>
      <c r="C17" s="23" t="e">
        <f>C7/C$6</f>
        <v>#REF!</v>
      </c>
      <c r="D17" s="23" t="e">
        <f t="shared" ref="D17:G17" si="0">D7/D$6</f>
        <v>#REF!</v>
      </c>
      <c r="E17" s="23" t="e">
        <f t="shared" si="0"/>
        <v>#REF!</v>
      </c>
      <c r="F17" s="23" t="e">
        <f t="shared" si="0"/>
        <v>#REF!</v>
      </c>
      <c r="G17" s="23" t="e">
        <f t="shared" si="0"/>
        <v>#REF!</v>
      </c>
    </row>
    <row r="18" spans="2:7" s="18" customFormat="1" x14ac:dyDescent="0.2">
      <c r="B18" s="19" t="s">
        <v>33</v>
      </c>
      <c r="C18" s="23" t="e">
        <f>C14/C$6</f>
        <v>#REF!</v>
      </c>
      <c r="D18" s="23" t="e">
        <f>D14/D$6</f>
        <v>#REF!</v>
      </c>
      <c r="E18" s="23" t="e">
        <f t="shared" ref="E18:G19" si="1">E14/E$6</f>
        <v>#REF!</v>
      </c>
      <c r="F18" s="23" t="e">
        <f t="shared" si="1"/>
        <v>#REF!</v>
      </c>
      <c r="G18" s="23" t="e">
        <f t="shared" si="1"/>
        <v>#REF!</v>
      </c>
    </row>
    <row r="19" spans="2:7" s="18" customFormat="1" x14ac:dyDescent="0.2">
      <c r="B19" s="19" t="s">
        <v>34</v>
      </c>
      <c r="C19" s="23" t="e">
        <f>C15/C$6</f>
        <v>#REF!</v>
      </c>
      <c r="D19" s="23" t="e">
        <f>D15/D$6</f>
        <v>#REF!</v>
      </c>
      <c r="E19" s="23" t="e">
        <f t="shared" si="1"/>
        <v>#REF!</v>
      </c>
      <c r="F19" s="23" t="e">
        <f t="shared" si="1"/>
        <v>#REF!</v>
      </c>
      <c r="G19" s="23" t="e">
        <f t="shared" si="1"/>
        <v>#REF!</v>
      </c>
    </row>
    <row r="20" spans="2:7" s="18" customFormat="1" x14ac:dyDescent="0.2">
      <c r="B20" s="19" t="s">
        <v>35</v>
      </c>
      <c r="C20" s="24" t="e">
        <f>1-$C$3</f>
        <v>#REF!</v>
      </c>
      <c r="D20" s="24" t="e">
        <f t="shared" ref="D20:G20" si="2">1-$C$3</f>
        <v>#REF!</v>
      </c>
      <c r="E20" s="24" t="e">
        <f t="shared" si="2"/>
        <v>#REF!</v>
      </c>
      <c r="F20" s="24" t="e">
        <f t="shared" si="2"/>
        <v>#REF!</v>
      </c>
      <c r="G20" s="24" t="e">
        <f t="shared" si="2"/>
        <v>#REF!</v>
      </c>
    </row>
    <row r="21" spans="2:7" s="18" customFormat="1" x14ac:dyDescent="0.2">
      <c r="B21" s="19" t="s">
        <v>36</v>
      </c>
      <c r="C21" s="24" t="e">
        <f t="shared" ref="C21:G21" si="3">1+$C$3</f>
        <v>#REF!</v>
      </c>
      <c r="D21" s="24" t="e">
        <f t="shared" si="3"/>
        <v>#REF!</v>
      </c>
      <c r="E21" s="24" t="e">
        <f t="shared" si="3"/>
        <v>#REF!</v>
      </c>
      <c r="F21" s="24" t="e">
        <f t="shared" si="3"/>
        <v>#REF!</v>
      </c>
      <c r="G21" s="24" t="e">
        <f t="shared" si="3"/>
        <v>#REF!</v>
      </c>
    </row>
    <row r="22" spans="2:7" s="18" customFormat="1" x14ac:dyDescent="0.2">
      <c r="B22" s="25"/>
      <c r="C22" s="26"/>
      <c r="D22" s="26"/>
      <c r="E22" s="26"/>
      <c r="F22" s="26"/>
      <c r="G22" s="26"/>
    </row>
    <row r="23" spans="2:7" s="18" customFormat="1" x14ac:dyDescent="0.2">
      <c r="B23" s="25"/>
      <c r="C23" s="26"/>
      <c r="D23" s="26"/>
      <c r="E23" s="26"/>
      <c r="F23" s="26"/>
      <c r="G23" s="26"/>
    </row>
    <row r="24" spans="2:7" s="18" customFormat="1" x14ac:dyDescent="0.2">
      <c r="B24" s="25"/>
      <c r="C24" s="26"/>
      <c r="D24" s="26"/>
      <c r="E24" s="26"/>
      <c r="F24" s="26"/>
      <c r="G24" s="26"/>
    </row>
    <row r="25" spans="2:7" s="18" customFormat="1" x14ac:dyDescent="0.2">
      <c r="B25" s="25"/>
      <c r="C25" s="26"/>
      <c r="D25" s="26"/>
      <c r="E25" s="26"/>
      <c r="F25" s="26"/>
      <c r="G25" s="26"/>
    </row>
    <row r="26" spans="2:7" s="18" customFormat="1" x14ac:dyDescent="0.2">
      <c r="B26" s="25"/>
      <c r="C26" s="26"/>
      <c r="D26" s="26"/>
      <c r="E26" s="26"/>
      <c r="F26" s="26"/>
      <c r="G26" s="26"/>
    </row>
    <row r="27" spans="2:7" s="13" customFormat="1" x14ac:dyDescent="0.2">
      <c r="B27" s="13" t="s">
        <v>37</v>
      </c>
    </row>
    <row r="28" spans="2:7" x14ac:dyDescent="0.2">
      <c r="B28" s="14" t="s">
        <v>38</v>
      </c>
      <c r="C28" s="27" t="e">
        <f t="shared" ref="C28:G28" si="4">C$12*C$10</f>
        <v>#REF!</v>
      </c>
      <c r="D28" s="27" t="e">
        <f t="shared" si="4"/>
        <v>#REF!</v>
      </c>
      <c r="E28" s="27" t="e">
        <f t="shared" si="4"/>
        <v>#REF!</v>
      </c>
      <c r="F28" s="27" t="e">
        <f t="shared" si="4"/>
        <v>#REF!</v>
      </c>
      <c r="G28" s="27" t="e">
        <f t="shared" si="4"/>
        <v>#REF!</v>
      </c>
    </row>
    <row r="29" spans="2:7" x14ac:dyDescent="0.2">
      <c r="B29" s="14" t="s">
        <v>39</v>
      </c>
      <c r="C29" s="28" t="e">
        <f t="shared" ref="C29:G29" si="5">2*C28/C7</f>
        <v>#REF!</v>
      </c>
      <c r="D29" s="28" t="e">
        <f t="shared" si="5"/>
        <v>#REF!</v>
      </c>
      <c r="E29" s="28" t="e">
        <f t="shared" si="5"/>
        <v>#REF!</v>
      </c>
      <c r="F29" s="28" t="e">
        <f t="shared" si="5"/>
        <v>#REF!</v>
      </c>
      <c r="G29" s="28" t="e">
        <f t="shared" si="5"/>
        <v>#REF!</v>
      </c>
    </row>
    <row r="30" spans="2:7" x14ac:dyDescent="0.2">
      <c r="C30" s="27"/>
      <c r="D30" s="27"/>
      <c r="E30" s="27"/>
      <c r="F30" s="27"/>
      <c r="G30" s="27"/>
    </row>
    <row r="31" spans="2:7" s="29" customFormat="1" x14ac:dyDescent="0.2">
      <c r="F31" s="30"/>
    </row>
    <row r="32" spans="2:7" s="29" customFormat="1" x14ac:dyDescent="0.2">
      <c r="F32" s="30"/>
    </row>
    <row r="33" spans="3:7" s="29" customFormat="1" x14ac:dyDescent="0.2">
      <c r="C33" s="30"/>
      <c r="D33" s="30"/>
      <c r="E33" s="30"/>
      <c r="F33" s="30"/>
      <c r="G33" s="30"/>
    </row>
    <row r="34" spans="3:7" s="29" customFormat="1" x14ac:dyDescent="0.2">
      <c r="C34" s="30"/>
      <c r="D34" s="30"/>
      <c r="E34" s="30"/>
      <c r="F34" s="30"/>
      <c r="G34" s="30"/>
    </row>
    <row r="35" spans="3:7" s="29" customFormat="1" x14ac:dyDescent="0.2">
      <c r="C35" s="31"/>
      <c r="D35" s="31"/>
      <c r="E35" s="31"/>
      <c r="F35" s="31"/>
      <c r="G35" s="31"/>
    </row>
    <row r="36" spans="3:7" s="29" customFormat="1" x14ac:dyDescent="0.2">
      <c r="C36" s="31"/>
      <c r="D36" s="31"/>
      <c r="E36" s="31"/>
      <c r="F36" s="31"/>
      <c r="G36" s="31"/>
    </row>
  </sheetData>
  <sheetProtection pivotTables="0"/>
  <pageMargins left="0.78740157499999996" right="0.78740157499999996" top="0.984251969" bottom="0.984251969" header="0.4921259845" footer="0.4921259845"/>
  <pageSetup paperSize="9" orientation="landscape" verticalDpi="0" r:id="rId1"/>
  <headerFooter alignWithMargins="0">
    <oddFooter>&amp;A&amp;RPage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  <pageSetUpPr fitToPage="1"/>
  </sheetPr>
  <dimension ref="A1:I40"/>
  <sheetViews>
    <sheetView zoomScaleNormal="100" workbookViewId="0">
      <selection activeCell="C4" sqref="C4"/>
    </sheetView>
  </sheetViews>
  <sheetFormatPr baseColWidth="10" defaultColWidth="10.85546875" defaultRowHeight="12" x14ac:dyDescent="0.2"/>
  <cols>
    <col min="1" max="1" width="24.5703125" style="2" customWidth="1"/>
    <col min="2" max="2" width="17.7109375" style="2" bestFit="1" customWidth="1"/>
    <col min="3" max="3" width="11.5703125" style="2" customWidth="1"/>
    <col min="4" max="4" width="11.140625" style="2" customWidth="1"/>
    <col min="5" max="5" width="12.42578125" style="2" customWidth="1"/>
    <col min="6" max="6" width="10.28515625" style="2" customWidth="1"/>
    <col min="7" max="7" width="3.5703125" style="2" customWidth="1"/>
    <col min="8" max="8" width="6.42578125" style="2" customWidth="1"/>
    <col min="9" max="9" width="15" style="2" bestFit="1" customWidth="1"/>
    <col min="10" max="10" width="10.85546875" style="2" customWidth="1"/>
    <col min="11" max="16384" width="10.85546875" style="2"/>
  </cols>
  <sheetData>
    <row r="1" spans="1:9" ht="12.75" thickBot="1" x14ac:dyDescent="0.25">
      <c r="A1" s="1" t="s">
        <v>16</v>
      </c>
    </row>
    <row r="2" spans="1:9" ht="13.5" thickBot="1" x14ac:dyDescent="0.25">
      <c r="A2" s="3" t="s">
        <v>40</v>
      </c>
      <c r="B2" s="4">
        <v>80</v>
      </c>
    </row>
    <row r="4" spans="1:9" x14ac:dyDescent="0.2"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H4" s="2" t="s">
        <v>22</v>
      </c>
      <c r="I4" s="2" t="s">
        <v>23</v>
      </c>
    </row>
    <row r="5" spans="1:9" x14ac:dyDescent="0.2">
      <c r="A5" s="2" t="s">
        <v>98</v>
      </c>
      <c r="B5" s="35" t="e">
        <f>#REF!*$B$2</f>
        <v>#REF!</v>
      </c>
      <c r="C5" s="35" t="e">
        <f>#REF!*$B$2</f>
        <v>#REF!</v>
      </c>
      <c r="D5" s="35"/>
      <c r="E5" s="36"/>
      <c r="F5" s="37"/>
      <c r="H5" s="5">
        <f>COUNT(B5:F5)</f>
        <v>0</v>
      </c>
      <c r="I5" s="6" t="str">
        <f>IF(H5=0,"",DEVSQ(B5:F5))</f>
        <v/>
      </c>
    </row>
    <row r="6" spans="1:9" x14ac:dyDescent="0.2">
      <c r="A6" s="2" t="s">
        <v>99</v>
      </c>
      <c r="B6" s="35"/>
      <c r="C6" s="35"/>
      <c r="D6" s="35"/>
      <c r="E6" s="36"/>
      <c r="F6" s="37"/>
      <c r="H6" s="5"/>
      <c r="I6" s="6"/>
    </row>
    <row r="7" spans="1:9" x14ac:dyDescent="0.2">
      <c r="A7" s="2" t="s">
        <v>100</v>
      </c>
      <c r="B7" s="35" t="e">
        <f>#REF!*$B$2</f>
        <v>#REF!</v>
      </c>
      <c r="C7" s="35" t="e">
        <f>#REF!*$B$2</f>
        <v>#REF!</v>
      </c>
      <c r="D7" s="35"/>
      <c r="E7" s="36"/>
      <c r="F7" s="37"/>
      <c r="H7" s="5">
        <f>COUNT(B7:F7)</f>
        <v>0</v>
      </c>
      <c r="I7" s="6" t="str">
        <f>IF(H7=0,"",DEVSQ(B7:F7))</f>
        <v/>
      </c>
    </row>
    <row r="8" spans="1:9" x14ac:dyDescent="0.2">
      <c r="A8" s="2" t="s">
        <v>101</v>
      </c>
      <c r="B8" s="35" t="e">
        <f>#REF!*$B$2</f>
        <v>#REF!</v>
      </c>
      <c r="C8" s="35" t="e">
        <f>#REF!*$B$2</f>
        <v>#REF!</v>
      </c>
      <c r="D8" s="36"/>
      <c r="E8" s="36"/>
      <c r="F8" s="37"/>
      <c r="H8" s="5">
        <f>COUNT(B8:F8)</f>
        <v>0</v>
      </c>
      <c r="I8" s="6" t="str">
        <f>IF(H8=0,"",DEVSQ(B8:F8))</f>
        <v/>
      </c>
    </row>
    <row r="9" spans="1:9" x14ac:dyDescent="0.2">
      <c r="A9" s="2" t="s">
        <v>102</v>
      </c>
      <c r="B9" s="35" t="e">
        <f>#REF!*$B$2</f>
        <v>#REF!</v>
      </c>
      <c r="C9" s="35" t="e">
        <f>#REF!*$B$2</f>
        <v>#REF!</v>
      </c>
      <c r="D9" s="36"/>
      <c r="E9" s="36"/>
      <c r="F9" s="37"/>
      <c r="H9" s="5">
        <f>COUNT(B9:F9)</f>
        <v>0</v>
      </c>
      <c r="I9" s="6" t="str">
        <f>IF(H9=0,"",DEVSQ(B9:F9))</f>
        <v/>
      </c>
    </row>
    <row r="10" spans="1:9" s="3" customFormat="1" ht="12.75" x14ac:dyDescent="0.2"/>
    <row r="11" spans="1:9" x14ac:dyDescent="0.2">
      <c r="A11" s="2" t="s">
        <v>103</v>
      </c>
      <c r="B11" s="2">
        <f>COUNT(B5:B9)</f>
        <v>0</v>
      </c>
      <c r="C11" s="7"/>
    </row>
    <row r="12" spans="1:9" x14ac:dyDescent="0.2">
      <c r="A12" s="2" t="s">
        <v>104</v>
      </c>
      <c r="B12" s="2">
        <f>COUNT(B5:F9)</f>
        <v>0</v>
      </c>
      <c r="C12" s="7"/>
    </row>
    <row r="13" spans="1:9" x14ac:dyDescent="0.2">
      <c r="A13" s="2" t="s">
        <v>105</v>
      </c>
      <c r="B13" s="2">
        <f>IF(H5*B11&lt;&gt;B12,"Calcul impossible",H5)</f>
        <v>0</v>
      </c>
      <c r="C13" s="7"/>
    </row>
    <row r="14" spans="1:9" x14ac:dyDescent="0.2">
      <c r="A14" s="2" t="s">
        <v>106</v>
      </c>
      <c r="B14" s="8">
        <f>SUM(I5:I9)</f>
        <v>0</v>
      </c>
      <c r="C14" s="7"/>
    </row>
    <row r="15" spans="1:9" x14ac:dyDescent="0.2">
      <c r="A15" s="2" t="s">
        <v>107</v>
      </c>
      <c r="B15" s="8" t="e">
        <f>DEVSQ(B5:F9)</f>
        <v>#REF!</v>
      </c>
      <c r="C15" s="7"/>
    </row>
    <row r="16" spans="1:9" x14ac:dyDescent="0.2">
      <c r="A16" s="2" t="s">
        <v>108</v>
      </c>
      <c r="B16" s="8" t="e">
        <f>B15-B14</f>
        <v>#REF!</v>
      </c>
      <c r="C16" s="7"/>
    </row>
    <row r="17" spans="1:9" x14ac:dyDescent="0.2">
      <c r="A17" s="2" t="s">
        <v>109</v>
      </c>
      <c r="B17" s="8" t="e">
        <f>((B16/(B11-1))-B18)/B13</f>
        <v>#REF!</v>
      </c>
      <c r="C17" s="7"/>
    </row>
    <row r="18" spans="1:9" x14ac:dyDescent="0.2">
      <c r="A18" s="2" t="s">
        <v>110</v>
      </c>
      <c r="B18" s="8" t="e">
        <f>B14/(B12-B11)</f>
        <v>#DIV/0!</v>
      </c>
      <c r="C18" s="7"/>
    </row>
    <row r="19" spans="1:9" x14ac:dyDescent="0.2">
      <c r="A19" s="2" t="s">
        <v>111</v>
      </c>
      <c r="B19" s="8" t="e">
        <f>IF(B17&lt;0,0,B17)</f>
        <v>#REF!</v>
      </c>
      <c r="C19" s="7"/>
    </row>
    <row r="20" spans="1:9" x14ac:dyDescent="0.2">
      <c r="A20" s="2" t="s">
        <v>112</v>
      </c>
      <c r="B20" s="8" t="e">
        <f>SUM(B18:B19)</f>
        <v>#DIV/0!</v>
      </c>
      <c r="C20" s="7"/>
    </row>
    <row r="21" spans="1:9" s="3" customFormat="1" ht="12.75" x14ac:dyDescent="0.2">
      <c r="A21" s="3" t="s">
        <v>113</v>
      </c>
    </row>
    <row r="22" spans="1:9" x14ac:dyDescent="0.2">
      <c r="A22" s="2" t="s">
        <v>41</v>
      </c>
      <c r="B22" s="8" t="e">
        <f>AVERAGE(B5:F9)</f>
        <v>#REF!</v>
      </c>
      <c r="C22" s="7"/>
    </row>
    <row r="23" spans="1:9" ht="12" customHeight="1" x14ac:dyDescent="0.2">
      <c r="A23" s="2" t="s">
        <v>42</v>
      </c>
      <c r="B23" s="8" t="e">
        <f>SQRT(B18)</f>
        <v>#DIV/0!</v>
      </c>
      <c r="C23" s="7"/>
    </row>
    <row r="24" spans="1:9" x14ac:dyDescent="0.2">
      <c r="A24" s="2" t="s">
        <v>43</v>
      </c>
      <c r="B24" s="8" t="e">
        <f>SQRT(B19)</f>
        <v>#REF!</v>
      </c>
      <c r="C24" s="7"/>
    </row>
    <row r="25" spans="1:9" x14ac:dyDescent="0.2">
      <c r="A25" s="2" t="s">
        <v>44</v>
      </c>
      <c r="B25" s="8" t="e">
        <f>SQRT(B20)</f>
        <v>#DIV/0!</v>
      </c>
      <c r="C25" s="7"/>
    </row>
    <row r="26" spans="1:9" s="3" customFormat="1" ht="12.75" x14ac:dyDescent="0.2">
      <c r="A26" s="3" t="s">
        <v>114</v>
      </c>
    </row>
    <row r="27" spans="1:9" ht="15" x14ac:dyDescent="0.25">
      <c r="A27" s="2" t="s">
        <v>50</v>
      </c>
      <c r="B27" s="9" t="e">
        <f>B22/B2-1</f>
        <v>#REF!</v>
      </c>
      <c r="C27" s="7"/>
    </row>
    <row r="28" spans="1:9" s="3" customFormat="1" ht="12.75" x14ac:dyDescent="0.2">
      <c r="A28" s="3" t="s">
        <v>115</v>
      </c>
    </row>
    <row r="29" spans="1:9" x14ac:dyDescent="0.2">
      <c r="A29" s="2" t="s">
        <v>45</v>
      </c>
      <c r="B29" s="8" t="e">
        <f>B19/B18</f>
        <v>#REF!</v>
      </c>
      <c r="C29" s="7"/>
    </row>
    <row r="30" spans="1:9" x14ac:dyDescent="0.2">
      <c r="A30" s="2" t="s">
        <v>116</v>
      </c>
      <c r="B30" s="8" t="e">
        <f>(B29+1)/(B13*B29+1)</f>
        <v>#REF!</v>
      </c>
      <c r="C30" s="7"/>
    </row>
    <row r="31" spans="1:9" x14ac:dyDescent="0.2">
      <c r="A31" s="2" t="s">
        <v>46</v>
      </c>
      <c r="B31" s="8" t="e">
        <f>SQRT(1+1/(B12*B30))</f>
        <v>#REF!</v>
      </c>
      <c r="C31" s="7"/>
    </row>
    <row r="32" spans="1:9" x14ac:dyDescent="0.2">
      <c r="A32" s="2" t="s">
        <v>47</v>
      </c>
      <c r="B32" s="8" t="e">
        <f>(B29+1)^2/((B29+1/B13)^2/(B11-1)+(1-1/B13)/B12)</f>
        <v>#REF!</v>
      </c>
      <c r="C32" s="7"/>
      <c r="I32" s="6"/>
    </row>
    <row r="33" spans="1:3" x14ac:dyDescent="0.2">
      <c r="A33" s="2" t="s">
        <v>29</v>
      </c>
      <c r="B33" s="8" t="e">
        <f>Récapitulatif!C2</f>
        <v>#REF!</v>
      </c>
      <c r="C33" s="7"/>
    </row>
    <row r="34" spans="1:3" x14ac:dyDescent="0.2">
      <c r="A34" s="2" t="s">
        <v>117</v>
      </c>
      <c r="B34" s="8" t="e">
        <f>TINV(1-B33,ROUNDDOWN(B32,0))</f>
        <v>#REF!</v>
      </c>
      <c r="C34" s="7"/>
    </row>
    <row r="35" spans="1:3" x14ac:dyDescent="0.2">
      <c r="A35" s="2" t="s">
        <v>118</v>
      </c>
      <c r="B35" s="8" t="e">
        <f>TINV(1-B33,ROUNDUP(B32,0))</f>
        <v>#REF!</v>
      </c>
      <c r="C35" s="7"/>
    </row>
    <row r="36" spans="1:3" x14ac:dyDescent="0.2">
      <c r="A36" s="2" t="s">
        <v>119</v>
      </c>
      <c r="B36" s="8" t="e">
        <f>B34-(B34-B35)*(B32-ROUNDDOWN(B32,0))</f>
        <v>#REF!</v>
      </c>
      <c r="C36" s="7"/>
    </row>
    <row r="37" spans="1:3" x14ac:dyDescent="0.2">
      <c r="A37" s="2" t="s">
        <v>120</v>
      </c>
      <c r="B37" s="8" t="e">
        <f>B36*B31</f>
        <v>#REF!</v>
      </c>
      <c r="C37" s="7"/>
    </row>
    <row r="38" spans="1:3" s="3" customFormat="1" ht="12.75" x14ac:dyDescent="0.2">
      <c r="A38" s="3" t="s">
        <v>121</v>
      </c>
    </row>
    <row r="39" spans="1:3" x14ac:dyDescent="0.2">
      <c r="A39" s="2" t="s">
        <v>48</v>
      </c>
      <c r="B39" s="8" t="e">
        <f>B22-B37*B25</f>
        <v>#REF!</v>
      </c>
      <c r="C39" s="7"/>
    </row>
    <row r="40" spans="1:3" x14ac:dyDescent="0.2">
      <c r="A40" s="2" t="s">
        <v>49</v>
      </c>
      <c r="B40" s="8" t="e">
        <f>B22+B37*B25</f>
        <v>#REF!</v>
      </c>
      <c r="C40" s="7"/>
    </row>
  </sheetData>
  <sheetProtection pivotTables="0"/>
  <printOptions headings="1" gridLines="1"/>
  <pageMargins left="0.78740157499999996" right="0.78740157499999996" top="0.49" bottom="0.76" header="0.28000000000000003" footer="0.4921259845"/>
  <pageSetup paperSize="9" orientation="landscape" horizontalDpi="300" verticalDpi="300" r:id="rId1"/>
  <headerFooter alignWithMargins="0">
    <oddFooter>&amp;A&amp;RPage &amp;P</oddFooter>
  </headerFooter>
  <rowBreaks count="1" manualBreakCount="1">
    <brk id="40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A1:I40"/>
  <sheetViews>
    <sheetView zoomScaleNormal="100" workbookViewId="0">
      <selection activeCell="C4" sqref="C4"/>
    </sheetView>
  </sheetViews>
  <sheetFormatPr baseColWidth="10" defaultColWidth="10.85546875" defaultRowHeight="12" x14ac:dyDescent="0.2"/>
  <cols>
    <col min="1" max="1" width="24.5703125" style="2" customWidth="1"/>
    <col min="2" max="2" width="11.28515625" style="2" customWidth="1"/>
    <col min="3" max="4" width="11.28515625" style="2" bestFit="1" customWidth="1"/>
    <col min="5" max="6" width="10.28515625" style="2" customWidth="1"/>
    <col min="7" max="7" width="3.5703125" style="2" customWidth="1"/>
    <col min="8" max="8" width="6.42578125" style="2" customWidth="1"/>
    <col min="9" max="9" width="11.5703125" style="2" customWidth="1"/>
    <col min="10" max="10" width="10.85546875" style="2" customWidth="1"/>
    <col min="11" max="16384" width="10.85546875" style="2"/>
  </cols>
  <sheetData>
    <row r="1" spans="1:9" ht="13.5" thickBot="1" x14ac:dyDescent="0.25">
      <c r="A1" s="10" t="s">
        <v>24</v>
      </c>
    </row>
    <row r="2" spans="1:9" ht="13.5" thickBot="1" x14ac:dyDescent="0.25">
      <c r="A2" s="3" t="s">
        <v>40</v>
      </c>
      <c r="B2" s="11">
        <v>90</v>
      </c>
    </row>
    <row r="4" spans="1:9" x14ac:dyDescent="0.2"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H4" s="2" t="s">
        <v>22</v>
      </c>
      <c r="I4" s="2" t="s">
        <v>23</v>
      </c>
    </row>
    <row r="5" spans="1:9" x14ac:dyDescent="0.2">
      <c r="A5" s="2" t="s">
        <v>98</v>
      </c>
      <c r="B5" s="36" t="e">
        <f>#REF!*$B$2</f>
        <v>#REF!</v>
      </c>
      <c r="C5" s="36" t="e">
        <f>#REF!*$B$2</f>
        <v>#REF!</v>
      </c>
      <c r="D5" s="36"/>
      <c r="E5" s="36"/>
      <c r="F5" s="37"/>
      <c r="H5" s="5">
        <f>COUNT(B5:F5)</f>
        <v>0</v>
      </c>
      <c r="I5" s="6" t="str">
        <f>IF(H5=0,"",DEVSQ(B5:F5))</f>
        <v/>
      </c>
    </row>
    <row r="6" spans="1:9" x14ac:dyDescent="0.2">
      <c r="A6" s="2" t="s">
        <v>99</v>
      </c>
      <c r="B6" s="36" t="e">
        <f>#REF!*$B$2</f>
        <v>#REF!</v>
      </c>
      <c r="C6" s="36" t="e">
        <f>#REF!*$B$2</f>
        <v>#REF!</v>
      </c>
      <c r="D6" s="36"/>
      <c r="E6" s="36"/>
      <c r="F6" s="37"/>
      <c r="H6" s="5">
        <f>COUNT(B6:F6)</f>
        <v>0</v>
      </c>
      <c r="I6" s="6" t="str">
        <f>IF(H6=0,"",DEVSQ(B6:F6))</f>
        <v/>
      </c>
    </row>
    <row r="7" spans="1:9" x14ac:dyDescent="0.2">
      <c r="A7" s="2" t="s">
        <v>100</v>
      </c>
      <c r="B7" s="36"/>
      <c r="C7" s="36"/>
      <c r="D7" s="36"/>
      <c r="E7" s="36"/>
      <c r="F7" s="37"/>
      <c r="H7" s="5"/>
      <c r="I7" s="6" t="str">
        <f>IF(H7=0,"",DEVSQ(B7:F7))</f>
        <v/>
      </c>
    </row>
    <row r="8" spans="1:9" x14ac:dyDescent="0.2">
      <c r="A8" s="2" t="s">
        <v>101</v>
      </c>
      <c r="B8" s="36" t="e">
        <f>#REF!*$B$2</f>
        <v>#REF!</v>
      </c>
      <c r="C8" s="36" t="e">
        <f>#REF!*$B$2</f>
        <v>#REF!</v>
      </c>
      <c r="D8" s="36"/>
      <c r="E8" s="36"/>
      <c r="F8" s="37"/>
      <c r="H8" s="5">
        <f>COUNT(B8:F8)</f>
        <v>0</v>
      </c>
      <c r="I8" s="6" t="str">
        <f>IF(H8=0,"",DEVSQ(B8:F8))</f>
        <v/>
      </c>
    </row>
    <row r="9" spans="1:9" x14ac:dyDescent="0.2">
      <c r="A9" s="2" t="s">
        <v>102</v>
      </c>
      <c r="B9" s="36" t="e">
        <f>#REF!*$B$2</f>
        <v>#REF!</v>
      </c>
      <c r="C9" s="36" t="e">
        <f>#REF!*$B$2</f>
        <v>#REF!</v>
      </c>
      <c r="D9" s="36"/>
      <c r="E9" s="36"/>
      <c r="F9" s="37"/>
      <c r="H9" s="5">
        <f>COUNT(B9:F9)</f>
        <v>0</v>
      </c>
      <c r="I9" s="6" t="str">
        <f>IF(H9=0,"",DEVSQ(B9:F9))</f>
        <v/>
      </c>
    </row>
    <row r="10" spans="1:9" s="3" customFormat="1" ht="12.75" x14ac:dyDescent="0.2"/>
    <row r="11" spans="1:9" x14ac:dyDescent="0.2">
      <c r="A11" s="2" t="s">
        <v>103</v>
      </c>
      <c r="B11" s="2">
        <f>COUNT(B5:B9)</f>
        <v>0</v>
      </c>
      <c r="C11" s="7"/>
    </row>
    <row r="12" spans="1:9" x14ac:dyDescent="0.2">
      <c r="A12" s="2" t="s">
        <v>104</v>
      </c>
      <c r="B12" s="2">
        <f>COUNT(B5:F9)</f>
        <v>0</v>
      </c>
      <c r="C12" s="7"/>
    </row>
    <row r="13" spans="1:9" x14ac:dyDescent="0.2">
      <c r="A13" s="2" t="s">
        <v>105</v>
      </c>
      <c r="B13" s="2">
        <f>IF(H5*B11&lt;&gt;B12,"Calcul impossible",H5)</f>
        <v>0</v>
      </c>
      <c r="C13" s="7"/>
    </row>
    <row r="14" spans="1:9" x14ac:dyDescent="0.2">
      <c r="A14" s="2" t="s">
        <v>106</v>
      </c>
      <c r="B14" s="12">
        <f>SUM(I5:I9)</f>
        <v>0</v>
      </c>
      <c r="C14" s="7"/>
    </row>
    <row r="15" spans="1:9" x14ac:dyDescent="0.2">
      <c r="A15" s="2" t="s">
        <v>107</v>
      </c>
      <c r="B15" s="12" t="e">
        <f>DEVSQ(B5:F9)</f>
        <v>#REF!</v>
      </c>
      <c r="C15" s="7"/>
    </row>
    <row r="16" spans="1:9" x14ac:dyDescent="0.2">
      <c r="A16" s="2" t="s">
        <v>108</v>
      </c>
      <c r="B16" s="12" t="e">
        <f>B15-B14</f>
        <v>#REF!</v>
      </c>
      <c r="C16" s="7"/>
    </row>
    <row r="17" spans="1:9" x14ac:dyDescent="0.2">
      <c r="A17" s="2" t="s">
        <v>109</v>
      </c>
      <c r="B17" s="12" t="e">
        <f>((B16/(B11-1))-B18)/B13</f>
        <v>#REF!</v>
      </c>
      <c r="C17" s="7"/>
    </row>
    <row r="18" spans="1:9" x14ac:dyDescent="0.2">
      <c r="A18" s="2" t="s">
        <v>110</v>
      </c>
      <c r="B18" s="12" t="e">
        <f>B14/(B12-B11)</f>
        <v>#DIV/0!</v>
      </c>
      <c r="C18" s="7"/>
    </row>
    <row r="19" spans="1:9" x14ac:dyDescent="0.2">
      <c r="A19" s="2" t="s">
        <v>111</v>
      </c>
      <c r="B19" s="12" t="e">
        <f>IF(B17&lt;0,0,B17)</f>
        <v>#REF!</v>
      </c>
      <c r="C19" s="7"/>
    </row>
    <row r="20" spans="1:9" x14ac:dyDescent="0.2">
      <c r="A20" s="2" t="s">
        <v>112</v>
      </c>
      <c r="B20" s="12" t="e">
        <f>SUM(B18:B19)</f>
        <v>#DIV/0!</v>
      </c>
      <c r="C20" s="7"/>
    </row>
    <row r="21" spans="1:9" s="3" customFormat="1" ht="12.75" x14ac:dyDescent="0.2">
      <c r="A21" s="3" t="s">
        <v>113</v>
      </c>
    </row>
    <row r="22" spans="1:9" x14ac:dyDescent="0.2">
      <c r="A22" s="2" t="s">
        <v>41</v>
      </c>
      <c r="B22" s="12" t="e">
        <f>AVERAGE(B5:F9)</f>
        <v>#REF!</v>
      </c>
      <c r="C22" s="7"/>
    </row>
    <row r="23" spans="1:9" ht="12" customHeight="1" x14ac:dyDescent="0.2">
      <c r="A23" s="2" t="s">
        <v>42</v>
      </c>
      <c r="B23" s="12" t="e">
        <f>SQRT(B18)</f>
        <v>#DIV/0!</v>
      </c>
      <c r="C23" s="7"/>
    </row>
    <row r="24" spans="1:9" x14ac:dyDescent="0.2">
      <c r="A24" s="2" t="s">
        <v>43</v>
      </c>
      <c r="B24" s="12" t="e">
        <f>SQRT(B19)</f>
        <v>#REF!</v>
      </c>
      <c r="C24" s="7"/>
    </row>
    <row r="25" spans="1:9" x14ac:dyDescent="0.2">
      <c r="A25" s="2" t="s">
        <v>44</v>
      </c>
      <c r="B25" s="12" t="e">
        <f>SQRT(B20)</f>
        <v>#DIV/0!</v>
      </c>
      <c r="C25" s="7"/>
    </row>
    <row r="26" spans="1:9" s="3" customFormat="1" ht="12.75" x14ac:dyDescent="0.2">
      <c r="A26" s="3" t="s">
        <v>114</v>
      </c>
    </row>
    <row r="27" spans="1:9" ht="15" x14ac:dyDescent="0.25">
      <c r="A27" s="2" t="s">
        <v>50</v>
      </c>
      <c r="B27" s="9" t="e">
        <f>B22/B2-1</f>
        <v>#REF!</v>
      </c>
      <c r="C27" s="7"/>
    </row>
    <row r="28" spans="1:9" s="3" customFormat="1" ht="12.75" x14ac:dyDescent="0.2">
      <c r="A28" s="3" t="s">
        <v>115</v>
      </c>
    </row>
    <row r="29" spans="1:9" x14ac:dyDescent="0.2">
      <c r="A29" s="2" t="s">
        <v>45</v>
      </c>
      <c r="B29" s="6" t="e">
        <f>B19/B18</f>
        <v>#REF!</v>
      </c>
      <c r="C29" s="7"/>
    </row>
    <row r="30" spans="1:9" x14ac:dyDescent="0.2">
      <c r="A30" s="2" t="s">
        <v>116</v>
      </c>
      <c r="B30" s="6" t="e">
        <f>(B29+1)/(B13*B29+1)</f>
        <v>#REF!</v>
      </c>
      <c r="C30" s="7"/>
    </row>
    <row r="31" spans="1:9" x14ac:dyDescent="0.2">
      <c r="A31" s="2" t="s">
        <v>46</v>
      </c>
      <c r="B31" s="6" t="e">
        <f>SQRT(1+1/(B12*B30))</f>
        <v>#REF!</v>
      </c>
      <c r="C31" s="7"/>
    </row>
    <row r="32" spans="1:9" x14ac:dyDescent="0.2">
      <c r="A32" s="2" t="s">
        <v>47</v>
      </c>
      <c r="B32" s="6" t="e">
        <f>(B29+1)^2/((B29+1/B13)^2/(B11-1)+(1-1/B13)/B12)</f>
        <v>#REF!</v>
      </c>
      <c r="C32" s="7"/>
      <c r="I32" s="6"/>
    </row>
    <row r="33" spans="1:3" x14ac:dyDescent="0.2">
      <c r="A33" s="2" t="s">
        <v>29</v>
      </c>
      <c r="B33" s="6" t="e">
        <f>Récapitulatif!C2</f>
        <v>#REF!</v>
      </c>
      <c r="C33" s="7"/>
    </row>
    <row r="34" spans="1:3" x14ac:dyDescent="0.2">
      <c r="A34" s="2" t="s">
        <v>117</v>
      </c>
      <c r="B34" s="6" t="e">
        <f>TINV(1-B33,ROUNDDOWN(B32,0))</f>
        <v>#REF!</v>
      </c>
      <c r="C34" s="7"/>
    </row>
    <row r="35" spans="1:3" x14ac:dyDescent="0.2">
      <c r="A35" s="2" t="s">
        <v>118</v>
      </c>
      <c r="B35" s="6" t="e">
        <f>TINV(1-B33,ROUNDUP(B32,0))</f>
        <v>#REF!</v>
      </c>
      <c r="C35" s="7"/>
    </row>
    <row r="36" spans="1:3" x14ac:dyDescent="0.2">
      <c r="A36" s="2" t="s">
        <v>119</v>
      </c>
      <c r="B36" s="6" t="e">
        <f>B34-(B34-B35)*(B32-ROUNDDOWN(B32,0))</f>
        <v>#REF!</v>
      </c>
      <c r="C36" s="7"/>
    </row>
    <row r="37" spans="1:3" x14ac:dyDescent="0.2">
      <c r="A37" s="2" t="s">
        <v>120</v>
      </c>
      <c r="B37" s="6" t="e">
        <f>B36*B31</f>
        <v>#REF!</v>
      </c>
      <c r="C37" s="7"/>
    </row>
    <row r="38" spans="1:3" s="3" customFormat="1" ht="12.75" x14ac:dyDescent="0.2">
      <c r="A38" s="3" t="s">
        <v>121</v>
      </c>
    </row>
    <row r="39" spans="1:3" x14ac:dyDescent="0.2">
      <c r="A39" s="2" t="s">
        <v>48</v>
      </c>
      <c r="B39" s="6" t="e">
        <f>B22-B37*B25</f>
        <v>#REF!</v>
      </c>
      <c r="C39" s="7"/>
    </row>
    <row r="40" spans="1:3" x14ac:dyDescent="0.2">
      <c r="A40" s="2" t="s">
        <v>49</v>
      </c>
      <c r="B40" s="6" t="e">
        <f>B22+B37*B25</f>
        <v>#REF!</v>
      </c>
      <c r="C40" s="7"/>
    </row>
  </sheetData>
  <sheetProtection pivotTables="0"/>
  <printOptions headings="1" gridLines="1"/>
  <pageMargins left="0.78740157499999996" right="0.78740157499999996" top="0.54" bottom="0.56999999999999995" header="0.32" footer="0.34"/>
  <pageSetup paperSize="9" scale="96" orientation="landscape" horizontalDpi="300" verticalDpi="300" r:id="rId1"/>
  <headerFooter alignWithMargins="0">
    <oddFooter>&amp;A&amp;RPage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</sheetPr>
  <dimension ref="A1:I40"/>
  <sheetViews>
    <sheetView zoomScaleNormal="100" workbookViewId="0">
      <selection activeCell="C4" sqref="C4"/>
    </sheetView>
  </sheetViews>
  <sheetFormatPr baseColWidth="10" defaultColWidth="10.85546875" defaultRowHeight="12" x14ac:dyDescent="0.2"/>
  <cols>
    <col min="1" max="1" width="24.5703125" style="2" customWidth="1"/>
    <col min="2" max="2" width="11.28515625" style="2" customWidth="1"/>
    <col min="3" max="4" width="11.28515625" style="2" bestFit="1" customWidth="1"/>
    <col min="5" max="6" width="10.28515625" style="2" customWidth="1"/>
    <col min="7" max="7" width="3.5703125" style="2" customWidth="1"/>
    <col min="8" max="8" width="6.42578125" style="2" customWidth="1"/>
    <col min="9" max="9" width="11.5703125" style="2" customWidth="1"/>
    <col min="10" max="10" width="10.85546875" style="2" customWidth="1"/>
    <col min="11" max="16384" width="10.85546875" style="2"/>
  </cols>
  <sheetData>
    <row r="1" spans="1:9" ht="13.5" thickBot="1" x14ac:dyDescent="0.25">
      <c r="A1" s="10" t="s">
        <v>25</v>
      </c>
    </row>
    <row r="2" spans="1:9" ht="13.5" thickBot="1" x14ac:dyDescent="0.25">
      <c r="A2" s="3" t="s">
        <v>40</v>
      </c>
      <c r="B2" s="4">
        <v>100</v>
      </c>
    </row>
    <row r="4" spans="1:9" x14ac:dyDescent="0.2"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H4" s="2" t="s">
        <v>22</v>
      </c>
      <c r="I4" s="2" t="s">
        <v>23</v>
      </c>
    </row>
    <row r="5" spans="1:9" x14ac:dyDescent="0.2">
      <c r="A5" s="2" t="s">
        <v>98</v>
      </c>
      <c r="B5" s="36" t="e">
        <f>#REF!*$B$2</f>
        <v>#REF!</v>
      </c>
      <c r="C5" s="36" t="e">
        <f>#REF!*$B$2</f>
        <v>#REF!</v>
      </c>
      <c r="D5" s="36"/>
      <c r="E5" s="36"/>
      <c r="F5" s="37"/>
      <c r="H5" s="5">
        <f>COUNT(B5:F5)</f>
        <v>0</v>
      </c>
      <c r="I5" s="6" t="str">
        <f>IF(H5=0,"",DEVSQ(B5:F5))</f>
        <v/>
      </c>
    </row>
    <row r="6" spans="1:9" x14ac:dyDescent="0.2">
      <c r="A6" s="2" t="s">
        <v>99</v>
      </c>
      <c r="B6" s="36" t="e">
        <f>#REF!*$B$2</f>
        <v>#REF!</v>
      </c>
      <c r="C6" s="36" t="e">
        <f>#REF!*$B$2</f>
        <v>#REF!</v>
      </c>
      <c r="D6" s="36"/>
      <c r="E6" s="36"/>
      <c r="F6" s="37"/>
      <c r="H6" s="5">
        <f>COUNT(B6:F6)</f>
        <v>0</v>
      </c>
      <c r="I6" s="6" t="str">
        <f>IF(H6=0,"",DEVSQ(B6:F6))</f>
        <v/>
      </c>
    </row>
    <row r="7" spans="1:9" x14ac:dyDescent="0.2">
      <c r="A7" s="2" t="s">
        <v>100</v>
      </c>
      <c r="B7" s="36" t="e">
        <f>#REF!*$B$2</f>
        <v>#REF!</v>
      </c>
      <c r="C7" s="36" t="e">
        <f>#REF!*$B$2</f>
        <v>#REF!</v>
      </c>
      <c r="D7" s="36"/>
      <c r="E7" s="36"/>
      <c r="F7" s="37"/>
      <c r="H7" s="5">
        <f>COUNT(B7:F7)</f>
        <v>0</v>
      </c>
      <c r="I7" s="6" t="str">
        <f>IF(H7=0,"",DEVSQ(B7:F7))</f>
        <v/>
      </c>
    </row>
    <row r="8" spans="1:9" x14ac:dyDescent="0.2">
      <c r="A8" s="2" t="s">
        <v>101</v>
      </c>
      <c r="B8" s="36"/>
      <c r="C8" s="36"/>
      <c r="D8" s="36"/>
      <c r="E8" s="36"/>
      <c r="F8" s="37"/>
      <c r="H8" s="5"/>
      <c r="I8" s="6" t="str">
        <f>IF(H8=0,"",DEVSQ(B8:F8))</f>
        <v/>
      </c>
    </row>
    <row r="9" spans="1:9" x14ac:dyDescent="0.2">
      <c r="A9" s="2" t="s">
        <v>102</v>
      </c>
      <c r="B9" s="36" t="e">
        <f>#REF!*$B$2</f>
        <v>#REF!</v>
      </c>
      <c r="C9" s="36" t="e">
        <f>#REF!*$B$2</f>
        <v>#REF!</v>
      </c>
      <c r="D9" s="36"/>
      <c r="E9" s="36"/>
      <c r="F9" s="37"/>
      <c r="H9" s="5">
        <f>COUNT(B9:F9)</f>
        <v>0</v>
      </c>
      <c r="I9" s="6" t="str">
        <f>IF(H9=0,"",DEVSQ(B9:F9))</f>
        <v/>
      </c>
    </row>
    <row r="10" spans="1:9" s="3" customFormat="1" ht="12.75" x14ac:dyDescent="0.2"/>
    <row r="11" spans="1:9" x14ac:dyDescent="0.2">
      <c r="A11" s="2" t="s">
        <v>103</v>
      </c>
      <c r="B11" s="2">
        <f>COUNT(B5:B9)</f>
        <v>0</v>
      </c>
      <c r="C11" s="7"/>
    </row>
    <row r="12" spans="1:9" x14ac:dyDescent="0.2">
      <c r="A12" s="2" t="s">
        <v>104</v>
      </c>
      <c r="B12" s="2">
        <f>COUNT(B5:F9)</f>
        <v>0</v>
      </c>
      <c r="C12" s="7"/>
    </row>
    <row r="13" spans="1:9" x14ac:dyDescent="0.2">
      <c r="A13" s="2" t="s">
        <v>105</v>
      </c>
      <c r="B13" s="2">
        <f>IF(H5*B11&lt;&gt;B12,"Calcul impossible",H5)</f>
        <v>0</v>
      </c>
      <c r="C13" s="7"/>
    </row>
    <row r="14" spans="1:9" x14ac:dyDescent="0.2">
      <c r="A14" s="2" t="s">
        <v>106</v>
      </c>
      <c r="B14" s="12">
        <f>SUM(I5:I9)</f>
        <v>0</v>
      </c>
      <c r="C14" s="7"/>
    </row>
    <row r="15" spans="1:9" x14ac:dyDescent="0.2">
      <c r="A15" s="2" t="s">
        <v>107</v>
      </c>
      <c r="B15" s="12" t="e">
        <f>DEVSQ(B5:F9)</f>
        <v>#REF!</v>
      </c>
      <c r="C15" s="7"/>
    </row>
    <row r="16" spans="1:9" x14ac:dyDescent="0.2">
      <c r="A16" s="2" t="s">
        <v>108</v>
      </c>
      <c r="B16" s="12" t="e">
        <f>B15-B14</f>
        <v>#REF!</v>
      </c>
      <c r="C16" s="7"/>
    </row>
    <row r="17" spans="1:9" x14ac:dyDescent="0.2">
      <c r="A17" s="2" t="s">
        <v>109</v>
      </c>
      <c r="B17" s="12" t="e">
        <f>((B16/(B11-1))-B18)/B13</f>
        <v>#REF!</v>
      </c>
      <c r="C17" s="7"/>
    </row>
    <row r="18" spans="1:9" x14ac:dyDescent="0.2">
      <c r="A18" s="2" t="s">
        <v>110</v>
      </c>
      <c r="B18" s="12" t="e">
        <f>B14/(B12-B11)</f>
        <v>#DIV/0!</v>
      </c>
      <c r="C18" s="7"/>
    </row>
    <row r="19" spans="1:9" x14ac:dyDescent="0.2">
      <c r="A19" s="2" t="s">
        <v>111</v>
      </c>
      <c r="B19" s="12" t="e">
        <f>IF(B17&lt;0,0,B17)</f>
        <v>#REF!</v>
      </c>
      <c r="C19" s="7"/>
    </row>
    <row r="20" spans="1:9" x14ac:dyDescent="0.2">
      <c r="A20" s="2" t="s">
        <v>112</v>
      </c>
      <c r="B20" s="12" t="e">
        <f>SUM(B18:B19)</f>
        <v>#DIV/0!</v>
      </c>
      <c r="C20" s="7"/>
    </row>
    <row r="21" spans="1:9" s="3" customFormat="1" ht="12.75" x14ac:dyDescent="0.2">
      <c r="A21" s="3" t="s">
        <v>113</v>
      </c>
    </row>
    <row r="22" spans="1:9" x14ac:dyDescent="0.2">
      <c r="A22" s="2" t="s">
        <v>41</v>
      </c>
      <c r="B22" s="12" t="e">
        <f>AVERAGE(B5:F9)</f>
        <v>#REF!</v>
      </c>
      <c r="C22" s="7"/>
    </row>
    <row r="23" spans="1:9" ht="12" customHeight="1" x14ac:dyDescent="0.2">
      <c r="A23" s="2" t="s">
        <v>42</v>
      </c>
      <c r="B23" s="12" t="e">
        <f>SQRT(B18)</f>
        <v>#DIV/0!</v>
      </c>
      <c r="C23" s="7"/>
    </row>
    <row r="24" spans="1:9" x14ac:dyDescent="0.2">
      <c r="A24" s="2" t="s">
        <v>43</v>
      </c>
      <c r="B24" s="12" t="e">
        <f>SQRT(B19)</f>
        <v>#REF!</v>
      </c>
      <c r="C24" s="7"/>
    </row>
    <row r="25" spans="1:9" x14ac:dyDescent="0.2">
      <c r="A25" s="2" t="s">
        <v>44</v>
      </c>
      <c r="B25" s="12" t="e">
        <f>SQRT(B20)</f>
        <v>#DIV/0!</v>
      </c>
      <c r="C25" s="7"/>
    </row>
    <row r="26" spans="1:9" s="3" customFormat="1" ht="12.75" x14ac:dyDescent="0.2">
      <c r="A26" s="3" t="s">
        <v>114</v>
      </c>
    </row>
    <row r="27" spans="1:9" ht="15" x14ac:dyDescent="0.25">
      <c r="A27" s="2" t="s">
        <v>50</v>
      </c>
      <c r="B27" s="9" t="e">
        <f>B22/B2-1</f>
        <v>#REF!</v>
      </c>
      <c r="C27" s="7"/>
    </row>
    <row r="28" spans="1:9" s="3" customFormat="1" ht="12.75" x14ac:dyDescent="0.2">
      <c r="A28" s="3" t="s">
        <v>115</v>
      </c>
    </row>
    <row r="29" spans="1:9" x14ac:dyDescent="0.2">
      <c r="A29" s="2" t="s">
        <v>45</v>
      </c>
      <c r="B29" s="6" t="e">
        <f>B19/B18</f>
        <v>#REF!</v>
      </c>
      <c r="C29" s="7"/>
    </row>
    <row r="30" spans="1:9" x14ac:dyDescent="0.2">
      <c r="A30" s="2" t="s">
        <v>116</v>
      </c>
      <c r="B30" s="6" t="e">
        <f>(B29+1)/(B13*B29+1)</f>
        <v>#REF!</v>
      </c>
      <c r="C30" s="7"/>
    </row>
    <row r="31" spans="1:9" x14ac:dyDescent="0.2">
      <c r="A31" s="2" t="s">
        <v>46</v>
      </c>
      <c r="B31" s="6" t="e">
        <f>SQRT(1+1/(B12*B30))</f>
        <v>#REF!</v>
      </c>
      <c r="C31" s="7"/>
    </row>
    <row r="32" spans="1:9" x14ac:dyDescent="0.2">
      <c r="A32" s="2" t="s">
        <v>47</v>
      </c>
      <c r="B32" s="6" t="e">
        <f>(B29+1)^2/((B29+1/B13)^2/(B11-1)+(1-1/B13)/B12)</f>
        <v>#REF!</v>
      </c>
      <c r="C32" s="7"/>
      <c r="I32" s="6"/>
    </row>
    <row r="33" spans="1:3" x14ac:dyDescent="0.2">
      <c r="A33" s="2" t="s">
        <v>29</v>
      </c>
      <c r="B33" s="6" t="e">
        <f>Récapitulatif!C2</f>
        <v>#REF!</v>
      </c>
      <c r="C33" s="7"/>
    </row>
    <row r="34" spans="1:3" x14ac:dyDescent="0.2">
      <c r="A34" s="2" t="s">
        <v>117</v>
      </c>
      <c r="B34" s="6" t="e">
        <f>TINV(1-B33,ROUNDDOWN(B32,0))</f>
        <v>#REF!</v>
      </c>
      <c r="C34" s="7"/>
    </row>
    <row r="35" spans="1:3" x14ac:dyDescent="0.2">
      <c r="A35" s="2" t="s">
        <v>118</v>
      </c>
      <c r="B35" s="6" t="e">
        <f>TINV(1-B33,ROUNDUP(B32,0))</f>
        <v>#REF!</v>
      </c>
      <c r="C35" s="7"/>
    </row>
    <row r="36" spans="1:3" x14ac:dyDescent="0.2">
      <c r="A36" s="2" t="s">
        <v>119</v>
      </c>
      <c r="B36" s="6" t="e">
        <f>B34-(B34-B35)*(B32-ROUNDDOWN(B32,0))</f>
        <v>#REF!</v>
      </c>
      <c r="C36" s="7"/>
    </row>
    <row r="37" spans="1:3" x14ac:dyDescent="0.2">
      <c r="A37" s="2" t="s">
        <v>120</v>
      </c>
      <c r="B37" s="6" t="e">
        <f>B36*B31</f>
        <v>#REF!</v>
      </c>
      <c r="C37" s="7"/>
    </row>
    <row r="38" spans="1:3" s="3" customFormat="1" ht="12.75" x14ac:dyDescent="0.2">
      <c r="A38" s="3" t="s">
        <v>121</v>
      </c>
    </row>
    <row r="39" spans="1:3" x14ac:dyDescent="0.2">
      <c r="A39" s="2" t="s">
        <v>48</v>
      </c>
      <c r="B39" s="6" t="e">
        <f>B22-B37*B25</f>
        <v>#REF!</v>
      </c>
      <c r="C39" s="7"/>
    </row>
    <row r="40" spans="1:3" x14ac:dyDescent="0.2">
      <c r="A40" s="2" t="s">
        <v>49</v>
      </c>
      <c r="B40" s="6" t="e">
        <f>B22+B37*B25</f>
        <v>#REF!</v>
      </c>
      <c r="C40" s="7"/>
    </row>
  </sheetData>
  <sheetProtection selectLockedCells="1" pivotTables="0"/>
  <printOptions headings="1" gridLines="1"/>
  <pageMargins left="0.78740157499999996" right="0.78740157499999996" top="0.56999999999999995" bottom="0.56999999999999995" header="0.33" footer="0.34"/>
  <pageSetup paperSize="9" scale="96" orientation="landscape" horizontalDpi="300" verticalDpi="300" r:id="rId1"/>
  <headerFooter alignWithMargins="0">
    <oddFooter>&amp;A&amp;RPage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59999389629810485"/>
  </sheetPr>
  <dimension ref="A1:I40"/>
  <sheetViews>
    <sheetView zoomScaleNormal="100" workbookViewId="0">
      <selection activeCell="C4" sqref="C4"/>
    </sheetView>
  </sheetViews>
  <sheetFormatPr baseColWidth="10" defaultColWidth="10.85546875" defaultRowHeight="12" x14ac:dyDescent="0.2"/>
  <cols>
    <col min="1" max="1" width="24.5703125" style="2" customWidth="1"/>
    <col min="2" max="2" width="11.28515625" style="2" customWidth="1"/>
    <col min="3" max="4" width="11.28515625" style="2" bestFit="1" customWidth="1"/>
    <col min="5" max="6" width="10.28515625" style="2" customWidth="1"/>
    <col min="7" max="7" width="3.5703125" style="2" customWidth="1"/>
    <col min="8" max="8" width="6.42578125" style="2" customWidth="1"/>
    <col min="9" max="9" width="11.5703125" style="2" customWidth="1"/>
    <col min="10" max="10" width="10.85546875" style="2" customWidth="1"/>
    <col min="11" max="16384" width="10.85546875" style="2"/>
  </cols>
  <sheetData>
    <row r="1" spans="1:9" ht="13.5" thickBot="1" x14ac:dyDescent="0.25">
      <c r="A1" s="10" t="s">
        <v>26</v>
      </c>
    </row>
    <row r="2" spans="1:9" ht="13.5" thickBot="1" x14ac:dyDescent="0.25">
      <c r="A2" s="3" t="s">
        <v>40</v>
      </c>
      <c r="B2" s="4">
        <v>110</v>
      </c>
    </row>
    <row r="4" spans="1:9" x14ac:dyDescent="0.2"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H4" s="2" t="s">
        <v>22</v>
      </c>
      <c r="I4" s="2" t="s">
        <v>23</v>
      </c>
    </row>
    <row r="5" spans="1:9" x14ac:dyDescent="0.2">
      <c r="A5" s="2" t="s">
        <v>98</v>
      </c>
      <c r="B5" s="36" t="e">
        <f>#REF!*$B$2</f>
        <v>#REF!</v>
      </c>
      <c r="C5" s="36" t="e">
        <f>#REF!*$B$2</f>
        <v>#REF!</v>
      </c>
      <c r="D5" s="36"/>
      <c r="E5" s="36"/>
      <c r="F5" s="37"/>
      <c r="H5" s="5">
        <f>COUNT(B5:F5)</f>
        <v>0</v>
      </c>
      <c r="I5" s="6" t="str">
        <f>IF(H5=0,"",DEVSQ(B5:F5))</f>
        <v/>
      </c>
    </row>
    <row r="6" spans="1:9" x14ac:dyDescent="0.2">
      <c r="A6" s="2" t="s">
        <v>99</v>
      </c>
      <c r="B6" s="36" t="e">
        <f>#REF!*$B$2</f>
        <v>#REF!</v>
      </c>
      <c r="C6" s="36" t="e">
        <f>#REF!*$B$2</f>
        <v>#REF!</v>
      </c>
      <c r="D6" s="36"/>
      <c r="E6" s="36"/>
      <c r="F6" s="37"/>
      <c r="H6" s="5">
        <f>COUNT(B6:F6)</f>
        <v>0</v>
      </c>
      <c r="I6" s="6" t="str">
        <f>IF(H6=0,"",DEVSQ(B6:F6))</f>
        <v/>
      </c>
    </row>
    <row r="7" spans="1:9" x14ac:dyDescent="0.2">
      <c r="A7" s="2" t="s">
        <v>100</v>
      </c>
      <c r="B7" s="36" t="e">
        <f>#REF!*$B$2</f>
        <v>#REF!</v>
      </c>
      <c r="C7" s="36" t="e">
        <f>#REF!*$B$2</f>
        <v>#REF!</v>
      </c>
      <c r="D7" s="36"/>
      <c r="E7" s="36"/>
      <c r="F7" s="37"/>
      <c r="H7" s="5">
        <f>COUNT(B7:F7)</f>
        <v>0</v>
      </c>
      <c r="I7" s="6" t="str">
        <f>IF(H7=0,"",DEVSQ(B7:F7))</f>
        <v/>
      </c>
    </row>
    <row r="8" spans="1:9" x14ac:dyDescent="0.2">
      <c r="A8" s="2" t="s">
        <v>101</v>
      </c>
      <c r="B8" s="36" t="e">
        <f>#REF!*$B$2</f>
        <v>#REF!</v>
      </c>
      <c r="C8" s="36" t="e">
        <f>#REF!*$B$2</f>
        <v>#REF!</v>
      </c>
      <c r="D8" s="36"/>
      <c r="E8" s="36"/>
      <c r="F8" s="37"/>
      <c r="H8" s="5">
        <f>COUNT(B8:F8)</f>
        <v>0</v>
      </c>
      <c r="I8" s="6" t="str">
        <f>IF(H8=0,"",DEVSQ(B8:F8))</f>
        <v/>
      </c>
    </row>
    <row r="9" spans="1:9" x14ac:dyDescent="0.2">
      <c r="A9" s="2" t="s">
        <v>102</v>
      </c>
      <c r="B9" s="36"/>
      <c r="C9" s="36"/>
      <c r="D9" s="36"/>
      <c r="E9" s="36"/>
      <c r="F9" s="37"/>
      <c r="H9" s="5"/>
      <c r="I9" s="6" t="str">
        <f>IF(H9=0,"",DEVSQ(B9:F9))</f>
        <v/>
      </c>
    </row>
    <row r="10" spans="1:9" s="3" customFormat="1" ht="12.75" x14ac:dyDescent="0.2"/>
    <row r="11" spans="1:9" x14ac:dyDescent="0.2">
      <c r="A11" s="2" t="s">
        <v>103</v>
      </c>
      <c r="B11" s="2">
        <f>COUNT(B5:B9)</f>
        <v>0</v>
      </c>
      <c r="C11" s="7"/>
    </row>
    <row r="12" spans="1:9" x14ac:dyDescent="0.2">
      <c r="A12" s="2" t="s">
        <v>104</v>
      </c>
      <c r="B12" s="2">
        <f>COUNT(B5:F9)</f>
        <v>0</v>
      </c>
      <c r="C12" s="7"/>
    </row>
    <row r="13" spans="1:9" x14ac:dyDescent="0.2">
      <c r="A13" s="2" t="s">
        <v>105</v>
      </c>
      <c r="B13" s="2">
        <f>IF(H5*B11&lt;&gt;B12,"Calcul impossible",H5)</f>
        <v>0</v>
      </c>
      <c r="C13" s="7"/>
    </row>
    <row r="14" spans="1:9" x14ac:dyDescent="0.2">
      <c r="A14" s="2" t="s">
        <v>106</v>
      </c>
      <c r="B14" s="12">
        <f>SUM(I5:I9)</f>
        <v>0</v>
      </c>
      <c r="C14" s="7"/>
    </row>
    <row r="15" spans="1:9" x14ac:dyDescent="0.2">
      <c r="A15" s="2" t="s">
        <v>107</v>
      </c>
      <c r="B15" s="12" t="e">
        <f>DEVSQ(B5:F9)</f>
        <v>#REF!</v>
      </c>
      <c r="C15" s="7"/>
    </row>
    <row r="16" spans="1:9" x14ac:dyDescent="0.2">
      <c r="A16" s="2" t="s">
        <v>108</v>
      </c>
      <c r="B16" s="12" t="e">
        <f>B15-B14</f>
        <v>#REF!</v>
      </c>
      <c r="C16" s="7"/>
    </row>
    <row r="17" spans="1:9" x14ac:dyDescent="0.2">
      <c r="A17" s="2" t="s">
        <v>109</v>
      </c>
      <c r="B17" s="12" t="e">
        <f>((B16/(B11-1))-B18)/B13</f>
        <v>#REF!</v>
      </c>
      <c r="C17" s="7"/>
    </row>
    <row r="18" spans="1:9" x14ac:dyDescent="0.2">
      <c r="A18" s="2" t="s">
        <v>110</v>
      </c>
      <c r="B18" s="12" t="e">
        <f>B14/(B12-B11)</f>
        <v>#DIV/0!</v>
      </c>
      <c r="C18" s="7"/>
    </row>
    <row r="19" spans="1:9" x14ac:dyDescent="0.2">
      <c r="A19" s="2" t="s">
        <v>111</v>
      </c>
      <c r="B19" s="12" t="e">
        <f>IF(B17&lt;0,0,B17)</f>
        <v>#REF!</v>
      </c>
      <c r="C19" s="7"/>
    </row>
    <row r="20" spans="1:9" x14ac:dyDescent="0.2">
      <c r="A20" s="2" t="s">
        <v>112</v>
      </c>
      <c r="B20" s="12" t="e">
        <f>SUM(B18:B19)</f>
        <v>#DIV/0!</v>
      </c>
      <c r="C20" s="7"/>
    </row>
    <row r="21" spans="1:9" s="3" customFormat="1" ht="12.75" x14ac:dyDescent="0.2">
      <c r="A21" s="3" t="s">
        <v>113</v>
      </c>
    </row>
    <row r="22" spans="1:9" x14ac:dyDescent="0.2">
      <c r="A22" s="2" t="s">
        <v>41</v>
      </c>
      <c r="B22" s="12" t="e">
        <f>AVERAGE(B5:F9)</f>
        <v>#REF!</v>
      </c>
      <c r="C22" s="7"/>
    </row>
    <row r="23" spans="1:9" ht="12" customHeight="1" x14ac:dyDescent="0.2">
      <c r="A23" s="2" t="s">
        <v>42</v>
      </c>
      <c r="B23" s="12" t="e">
        <f>SQRT(B18)</f>
        <v>#DIV/0!</v>
      </c>
      <c r="C23" s="7"/>
    </row>
    <row r="24" spans="1:9" x14ac:dyDescent="0.2">
      <c r="A24" s="2" t="s">
        <v>43</v>
      </c>
      <c r="B24" s="12" t="e">
        <f>SQRT(B19)</f>
        <v>#REF!</v>
      </c>
      <c r="C24" s="7"/>
    </row>
    <row r="25" spans="1:9" x14ac:dyDescent="0.2">
      <c r="A25" s="2" t="s">
        <v>44</v>
      </c>
      <c r="B25" s="12" t="e">
        <f>SQRT(B20)</f>
        <v>#DIV/0!</v>
      </c>
      <c r="C25" s="7"/>
    </row>
    <row r="26" spans="1:9" s="3" customFormat="1" ht="12.75" x14ac:dyDescent="0.2">
      <c r="A26" s="3" t="s">
        <v>114</v>
      </c>
    </row>
    <row r="27" spans="1:9" ht="15" x14ac:dyDescent="0.25">
      <c r="A27" s="2" t="s">
        <v>50</v>
      </c>
      <c r="B27" s="9" t="e">
        <f>B22/B2-1</f>
        <v>#REF!</v>
      </c>
      <c r="C27" s="7"/>
    </row>
    <row r="28" spans="1:9" s="3" customFormat="1" ht="12.75" x14ac:dyDescent="0.2">
      <c r="A28" s="3" t="s">
        <v>115</v>
      </c>
    </row>
    <row r="29" spans="1:9" x14ac:dyDescent="0.2">
      <c r="A29" s="2" t="s">
        <v>45</v>
      </c>
      <c r="B29" s="6" t="e">
        <f>B19/B18</f>
        <v>#REF!</v>
      </c>
      <c r="C29" s="7"/>
    </row>
    <row r="30" spans="1:9" x14ac:dyDescent="0.2">
      <c r="A30" s="2" t="s">
        <v>116</v>
      </c>
      <c r="B30" s="6" t="e">
        <f>(B29+1)/(B13*B29+1)</f>
        <v>#REF!</v>
      </c>
      <c r="C30" s="7"/>
    </row>
    <row r="31" spans="1:9" x14ac:dyDescent="0.2">
      <c r="A31" s="2" t="s">
        <v>46</v>
      </c>
      <c r="B31" s="6" t="e">
        <f>SQRT(1+1/(B12*B30))</f>
        <v>#REF!</v>
      </c>
      <c r="C31" s="7"/>
    </row>
    <row r="32" spans="1:9" x14ac:dyDescent="0.2">
      <c r="A32" s="2" t="s">
        <v>47</v>
      </c>
      <c r="B32" s="6" t="e">
        <f>(B29+1)^2/((B29+1/B13)^2/(B11-1)+(1-1/B13)/B12)</f>
        <v>#REF!</v>
      </c>
      <c r="C32" s="7"/>
      <c r="I32" s="6"/>
    </row>
    <row r="33" spans="1:3" x14ac:dyDescent="0.2">
      <c r="A33" s="2" t="s">
        <v>29</v>
      </c>
      <c r="B33" s="6" t="e">
        <f>Récapitulatif!C2</f>
        <v>#REF!</v>
      </c>
      <c r="C33" s="7"/>
    </row>
    <row r="34" spans="1:3" x14ac:dyDescent="0.2">
      <c r="A34" s="2" t="s">
        <v>117</v>
      </c>
      <c r="B34" s="6" t="e">
        <f>TINV(1-B33,ROUNDDOWN(B32,0))</f>
        <v>#REF!</v>
      </c>
      <c r="C34" s="7"/>
    </row>
    <row r="35" spans="1:3" x14ac:dyDescent="0.2">
      <c r="A35" s="2" t="s">
        <v>118</v>
      </c>
      <c r="B35" s="6" t="e">
        <f>TINV(1-B33,ROUNDUP(B32,0))</f>
        <v>#REF!</v>
      </c>
      <c r="C35" s="7"/>
    </row>
    <row r="36" spans="1:3" x14ac:dyDescent="0.2">
      <c r="A36" s="2" t="s">
        <v>119</v>
      </c>
      <c r="B36" s="6" t="e">
        <f>B34-(B34-B35)*(B32-ROUNDDOWN(B32,0))</f>
        <v>#REF!</v>
      </c>
      <c r="C36" s="7"/>
    </row>
    <row r="37" spans="1:3" x14ac:dyDescent="0.2">
      <c r="A37" s="2" t="s">
        <v>120</v>
      </c>
      <c r="B37" s="6" t="e">
        <f>B36*B31</f>
        <v>#REF!</v>
      </c>
      <c r="C37" s="7"/>
    </row>
    <row r="38" spans="1:3" s="3" customFormat="1" ht="12.75" x14ac:dyDescent="0.2">
      <c r="A38" s="3" t="s">
        <v>121</v>
      </c>
    </row>
    <row r="39" spans="1:3" x14ac:dyDescent="0.2">
      <c r="A39" s="2" t="s">
        <v>48</v>
      </c>
      <c r="B39" s="6" t="e">
        <f>B22-B37*B25</f>
        <v>#REF!</v>
      </c>
      <c r="C39" s="7"/>
    </row>
    <row r="40" spans="1:3" x14ac:dyDescent="0.2">
      <c r="A40" s="2" t="s">
        <v>49</v>
      </c>
      <c r="B40" s="6" t="e">
        <f>B22+B37*B25</f>
        <v>#REF!</v>
      </c>
      <c r="C40" s="7"/>
    </row>
  </sheetData>
  <sheetProtection selectLockedCells="1" pivotTables="0"/>
  <printOptions headings="1" gridLines="1"/>
  <pageMargins left="0.78740157499999996" right="0.78740157499999996" top="0.56999999999999995" bottom="0.56999999999999995" header="0.33" footer="0.34"/>
  <pageSetup paperSize="9" scale="96" orientation="landscape" horizontalDpi="300" verticalDpi="300" r:id="rId1"/>
  <headerFooter alignWithMargins="0">
    <oddFooter>&amp;A&amp;RPage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59999389629810485"/>
  </sheetPr>
  <dimension ref="A1:I40"/>
  <sheetViews>
    <sheetView zoomScaleNormal="100" workbookViewId="0">
      <selection activeCell="C4" sqref="C4"/>
    </sheetView>
  </sheetViews>
  <sheetFormatPr baseColWidth="10" defaultColWidth="10.85546875" defaultRowHeight="12" x14ac:dyDescent="0.2"/>
  <cols>
    <col min="1" max="1" width="24.5703125" style="2" customWidth="1"/>
    <col min="2" max="2" width="11.28515625" style="2" customWidth="1"/>
    <col min="3" max="3" width="10.85546875" style="2" customWidth="1"/>
    <col min="4" max="4" width="12.140625" style="2" bestFit="1" customWidth="1"/>
    <col min="5" max="6" width="10.28515625" style="2" customWidth="1"/>
    <col min="7" max="7" width="3.5703125" style="2" customWidth="1"/>
    <col min="8" max="8" width="6.42578125" style="2" customWidth="1"/>
    <col min="9" max="9" width="11.5703125" style="2" customWidth="1"/>
    <col min="10" max="10" width="10.85546875" style="2" customWidth="1"/>
    <col min="11" max="16384" width="10.85546875" style="2"/>
  </cols>
  <sheetData>
    <row r="1" spans="1:9" ht="13.5" thickBot="1" x14ac:dyDescent="0.25">
      <c r="A1" s="10" t="s">
        <v>27</v>
      </c>
    </row>
    <row r="2" spans="1:9" ht="13.5" thickBot="1" x14ac:dyDescent="0.25">
      <c r="A2" s="3" t="s">
        <v>40</v>
      </c>
      <c r="B2" s="4">
        <v>120</v>
      </c>
    </row>
    <row r="4" spans="1:9" x14ac:dyDescent="0.2"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H4" s="2" t="s">
        <v>22</v>
      </c>
      <c r="I4" s="2" t="s">
        <v>23</v>
      </c>
    </row>
    <row r="5" spans="1:9" x14ac:dyDescent="0.2">
      <c r="A5" s="2" t="s">
        <v>98</v>
      </c>
      <c r="B5" s="36"/>
      <c r="C5" s="36"/>
      <c r="D5" s="36"/>
      <c r="E5" s="37"/>
      <c r="F5" s="37"/>
      <c r="H5" s="5"/>
      <c r="I5" s="6"/>
    </row>
    <row r="6" spans="1:9" x14ac:dyDescent="0.2">
      <c r="A6" s="2" t="s">
        <v>99</v>
      </c>
      <c r="B6" s="36" t="e">
        <f>#REF!*$B$2</f>
        <v>#REF!</v>
      </c>
      <c r="C6" s="36" t="e">
        <f>#REF!*$B$2</f>
        <v>#REF!</v>
      </c>
      <c r="D6" s="36"/>
      <c r="E6" s="37"/>
      <c r="F6" s="37"/>
      <c r="H6" s="5">
        <f>COUNT(B6:F6)</f>
        <v>0</v>
      </c>
      <c r="I6" s="6" t="str">
        <f>IF(H6=0,"",DEVSQ(B6:F6))</f>
        <v/>
      </c>
    </row>
    <row r="7" spans="1:9" x14ac:dyDescent="0.2">
      <c r="A7" s="2" t="s">
        <v>100</v>
      </c>
      <c r="B7" s="36" t="e">
        <f>#REF!*$B$2</f>
        <v>#REF!</v>
      </c>
      <c r="C7" s="36" t="e">
        <f>#REF!*$B$2</f>
        <v>#REF!</v>
      </c>
      <c r="D7" s="36"/>
      <c r="E7" s="37"/>
      <c r="F7" s="37"/>
      <c r="H7" s="5">
        <f>COUNT(B7:F7)</f>
        <v>0</v>
      </c>
      <c r="I7" s="6" t="str">
        <f>IF(H7=0,"",DEVSQ(B7:F7))</f>
        <v/>
      </c>
    </row>
    <row r="8" spans="1:9" x14ac:dyDescent="0.2">
      <c r="A8" s="2" t="s">
        <v>101</v>
      </c>
      <c r="B8" s="36" t="e">
        <f>#REF!*$B$2</f>
        <v>#REF!</v>
      </c>
      <c r="C8" s="36" t="e">
        <f>#REF!*$B$2</f>
        <v>#REF!</v>
      </c>
      <c r="D8" s="37"/>
      <c r="E8" s="37"/>
      <c r="F8" s="37"/>
      <c r="H8" s="5">
        <f t="shared" ref="H8:H9" si="0">COUNT(B8:F8)</f>
        <v>0</v>
      </c>
      <c r="I8" s="6" t="str">
        <f t="shared" ref="I8:I9" si="1">IF(H8=0,"",DEVSQ(B8:F8))</f>
        <v/>
      </c>
    </row>
    <row r="9" spans="1:9" x14ac:dyDescent="0.2">
      <c r="A9" s="2" t="s">
        <v>102</v>
      </c>
      <c r="B9" s="36" t="e">
        <f>#REF!*$B$2</f>
        <v>#REF!</v>
      </c>
      <c r="C9" s="36" t="e">
        <f>#REF!*$B$2</f>
        <v>#REF!</v>
      </c>
      <c r="D9" s="37"/>
      <c r="E9" s="37"/>
      <c r="F9" s="37"/>
      <c r="H9" s="5">
        <f t="shared" si="0"/>
        <v>0</v>
      </c>
      <c r="I9" s="6" t="str">
        <f t="shared" si="1"/>
        <v/>
      </c>
    </row>
    <row r="10" spans="1:9" s="3" customFormat="1" ht="12.75" x14ac:dyDescent="0.2"/>
    <row r="11" spans="1:9" x14ac:dyDescent="0.2">
      <c r="A11" s="2" t="s">
        <v>103</v>
      </c>
      <c r="B11" s="2">
        <f>COUNT(B5:B9)</f>
        <v>0</v>
      </c>
      <c r="C11" s="7"/>
    </row>
    <row r="12" spans="1:9" x14ac:dyDescent="0.2">
      <c r="A12" s="2" t="s">
        <v>104</v>
      </c>
      <c r="B12" s="2">
        <f>COUNT(B5:F9)</f>
        <v>0</v>
      </c>
      <c r="C12" s="7"/>
    </row>
    <row r="13" spans="1:9" x14ac:dyDescent="0.2">
      <c r="A13" s="2" t="s">
        <v>105</v>
      </c>
      <c r="B13" s="2">
        <f>IF(H6*B11&lt;&gt;B12,"Calcul impossible",H6)</f>
        <v>0</v>
      </c>
      <c r="C13" s="7"/>
    </row>
    <row r="14" spans="1:9" x14ac:dyDescent="0.2">
      <c r="A14" s="2" t="s">
        <v>106</v>
      </c>
      <c r="B14" s="12">
        <f>SUM(I5:I9)</f>
        <v>0</v>
      </c>
      <c r="C14" s="7"/>
    </row>
    <row r="15" spans="1:9" x14ac:dyDescent="0.2">
      <c r="A15" s="2" t="s">
        <v>107</v>
      </c>
      <c r="B15" s="12" t="e">
        <f>DEVSQ(B5:F9)</f>
        <v>#REF!</v>
      </c>
      <c r="C15" s="7"/>
    </row>
    <row r="16" spans="1:9" x14ac:dyDescent="0.2">
      <c r="A16" s="2" t="s">
        <v>108</v>
      </c>
      <c r="B16" s="12" t="e">
        <f>B15-B14</f>
        <v>#REF!</v>
      </c>
      <c r="C16" s="7"/>
    </row>
    <row r="17" spans="1:9" x14ac:dyDescent="0.2">
      <c r="A17" s="2" t="s">
        <v>109</v>
      </c>
      <c r="B17" s="12" t="e">
        <f>((B16/(B11-1))-B18)/B13</f>
        <v>#REF!</v>
      </c>
      <c r="C17" s="7"/>
    </row>
    <row r="18" spans="1:9" x14ac:dyDescent="0.2">
      <c r="A18" s="2" t="s">
        <v>110</v>
      </c>
      <c r="B18" s="12" t="e">
        <f>B14/(B12-B11)</f>
        <v>#DIV/0!</v>
      </c>
      <c r="C18" s="7"/>
    </row>
    <row r="19" spans="1:9" x14ac:dyDescent="0.2">
      <c r="A19" s="2" t="s">
        <v>111</v>
      </c>
      <c r="B19" s="12" t="e">
        <f>IF(B17&lt;0,0,B17)</f>
        <v>#REF!</v>
      </c>
      <c r="C19" s="7"/>
    </row>
    <row r="20" spans="1:9" x14ac:dyDescent="0.2">
      <c r="A20" s="2" t="s">
        <v>112</v>
      </c>
      <c r="B20" s="12" t="e">
        <f>SUM(B18:B19)</f>
        <v>#DIV/0!</v>
      </c>
      <c r="C20" s="7"/>
    </row>
    <row r="21" spans="1:9" s="3" customFormat="1" ht="12.75" x14ac:dyDescent="0.2">
      <c r="A21" s="3" t="s">
        <v>113</v>
      </c>
    </row>
    <row r="22" spans="1:9" x14ac:dyDescent="0.2">
      <c r="A22" s="2" t="s">
        <v>41</v>
      </c>
      <c r="B22" s="12" t="e">
        <f>AVERAGE(B5:F9)</f>
        <v>#REF!</v>
      </c>
      <c r="C22" s="7"/>
    </row>
    <row r="23" spans="1:9" ht="12" customHeight="1" x14ac:dyDescent="0.2">
      <c r="A23" s="2" t="s">
        <v>42</v>
      </c>
      <c r="B23" s="12" t="e">
        <f>SQRT(B18)</f>
        <v>#DIV/0!</v>
      </c>
      <c r="C23" s="7"/>
    </row>
    <row r="24" spans="1:9" x14ac:dyDescent="0.2">
      <c r="A24" s="2" t="s">
        <v>43</v>
      </c>
      <c r="B24" s="12" t="e">
        <f>SQRT(B19)</f>
        <v>#REF!</v>
      </c>
      <c r="C24" s="7"/>
    </row>
    <row r="25" spans="1:9" x14ac:dyDescent="0.2">
      <c r="A25" s="2" t="s">
        <v>44</v>
      </c>
      <c r="B25" s="12" t="e">
        <f>SQRT(B20)</f>
        <v>#DIV/0!</v>
      </c>
      <c r="C25" s="7"/>
    </row>
    <row r="26" spans="1:9" s="3" customFormat="1" ht="12.75" x14ac:dyDescent="0.2">
      <c r="A26" s="3" t="s">
        <v>114</v>
      </c>
    </row>
    <row r="27" spans="1:9" ht="15" x14ac:dyDescent="0.25">
      <c r="A27" s="2" t="s">
        <v>50</v>
      </c>
      <c r="B27" s="9" t="e">
        <f>B22/B2-1</f>
        <v>#REF!</v>
      </c>
      <c r="C27" s="7"/>
    </row>
    <row r="28" spans="1:9" s="3" customFormat="1" ht="12.75" x14ac:dyDescent="0.2">
      <c r="A28" s="3" t="s">
        <v>115</v>
      </c>
    </row>
    <row r="29" spans="1:9" x14ac:dyDescent="0.2">
      <c r="A29" s="2" t="s">
        <v>45</v>
      </c>
      <c r="B29" s="6" t="e">
        <f>B19/B18</f>
        <v>#REF!</v>
      </c>
      <c r="C29" s="7"/>
    </row>
    <row r="30" spans="1:9" x14ac:dyDescent="0.2">
      <c r="A30" s="2" t="s">
        <v>116</v>
      </c>
      <c r="B30" s="6" t="e">
        <f>(B29+1)/(B13*B29+1)</f>
        <v>#REF!</v>
      </c>
      <c r="C30" s="7"/>
    </row>
    <row r="31" spans="1:9" x14ac:dyDescent="0.2">
      <c r="A31" s="2" t="s">
        <v>46</v>
      </c>
      <c r="B31" s="6" t="e">
        <f>SQRT(1+1/(B12*B30))</f>
        <v>#REF!</v>
      </c>
      <c r="C31" s="7"/>
    </row>
    <row r="32" spans="1:9" x14ac:dyDescent="0.2">
      <c r="A32" s="2" t="s">
        <v>47</v>
      </c>
      <c r="B32" s="6" t="e">
        <f>(B29+1)^2/((B29+1/B13)^2/(B11-1)+(1-1/B13)/B12)</f>
        <v>#REF!</v>
      </c>
      <c r="C32" s="7"/>
      <c r="I32" s="6"/>
    </row>
    <row r="33" spans="1:3" x14ac:dyDescent="0.2">
      <c r="A33" s="2" t="s">
        <v>29</v>
      </c>
      <c r="B33" s="6" t="e">
        <f>Récapitulatif!C2</f>
        <v>#REF!</v>
      </c>
      <c r="C33" s="7"/>
    </row>
    <row r="34" spans="1:3" x14ac:dyDescent="0.2">
      <c r="A34" s="2" t="s">
        <v>117</v>
      </c>
      <c r="B34" s="6" t="e">
        <f>TINV(1-B33,ROUNDDOWN(B32,0))</f>
        <v>#REF!</v>
      </c>
      <c r="C34" s="7"/>
    </row>
    <row r="35" spans="1:3" x14ac:dyDescent="0.2">
      <c r="A35" s="2" t="s">
        <v>118</v>
      </c>
      <c r="B35" s="6" t="e">
        <f>TINV(1-B33,ROUNDUP(B32,0))</f>
        <v>#REF!</v>
      </c>
      <c r="C35" s="7"/>
    </row>
    <row r="36" spans="1:3" x14ac:dyDescent="0.2">
      <c r="A36" s="2" t="s">
        <v>119</v>
      </c>
      <c r="B36" s="6" t="e">
        <f>B34-(B34-B35)*(B32-ROUNDDOWN(B32,0))</f>
        <v>#REF!</v>
      </c>
      <c r="C36" s="7"/>
    </row>
    <row r="37" spans="1:3" x14ac:dyDescent="0.2">
      <c r="A37" s="2" t="s">
        <v>120</v>
      </c>
      <c r="B37" s="6" t="e">
        <f>B36*B31</f>
        <v>#REF!</v>
      </c>
      <c r="C37" s="7"/>
    </row>
    <row r="38" spans="1:3" s="3" customFormat="1" ht="12.75" x14ac:dyDescent="0.2">
      <c r="A38" s="3" t="s">
        <v>121</v>
      </c>
    </row>
    <row r="39" spans="1:3" x14ac:dyDescent="0.2">
      <c r="A39" s="2" t="s">
        <v>48</v>
      </c>
      <c r="B39" s="6" t="e">
        <f>B22-B37*B25</f>
        <v>#REF!</v>
      </c>
      <c r="C39" s="7"/>
    </row>
    <row r="40" spans="1:3" x14ac:dyDescent="0.2">
      <c r="A40" s="2" t="s">
        <v>49</v>
      </c>
      <c r="B40" s="6" t="e">
        <f>B22+B37*B25</f>
        <v>#REF!</v>
      </c>
      <c r="C40" s="7"/>
    </row>
  </sheetData>
  <sheetProtection pivotTables="0"/>
  <printOptions headings="1" gridLines="1"/>
  <pageMargins left="0.78740157499999996" right="0.78740157499999996" top="0.56999999999999995" bottom="0.56999999999999995" header="0.33" footer="0.34"/>
  <pageSetup paperSize="9" scale="96" orientation="landscape" horizontalDpi="300" verticalDpi="300" r:id="rId1"/>
  <headerFooter alignWithMargins="0">
    <oddFooter>&amp;A&amp;RPage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14</vt:i4>
      </vt:variant>
      <vt:variant>
        <vt:lpstr>Graphiques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16" baseType="lpstr">
      <vt:lpstr>BCE - GRR</vt:lpstr>
      <vt:lpstr>1F5N</vt:lpstr>
      <vt:lpstr>BCH - GRR destructif</vt:lpstr>
      <vt:lpstr>Plan hierarchisé</vt:lpstr>
      <vt:lpstr>Kruskal et Wallis</vt:lpstr>
      <vt:lpstr>Friedmann </vt:lpstr>
      <vt:lpstr>khi-2 ajust et indep</vt:lpstr>
      <vt:lpstr>Feuil1</vt:lpstr>
      <vt:lpstr>Récapitulatif</vt:lpstr>
      <vt:lpstr>80%</vt:lpstr>
      <vt:lpstr>90%</vt:lpstr>
      <vt:lpstr>100%</vt:lpstr>
      <vt:lpstr>110%</vt:lpstr>
      <vt:lpstr>120%</vt:lpstr>
      <vt:lpstr>Graph Profil</vt:lpstr>
      <vt:lpstr>'80%'!Zone_d_impression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germa</dc:creator>
  <cp:lastModifiedBy>morgan Germa Colliou</cp:lastModifiedBy>
  <dcterms:created xsi:type="dcterms:W3CDTF">2017-02-03T08:41:23Z</dcterms:created>
  <dcterms:modified xsi:type="dcterms:W3CDTF">2025-11-18T14:34:57Z</dcterms:modified>
</cp:coreProperties>
</file>