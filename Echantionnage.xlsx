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QualXP V2\Contrôle à réception\"/>
    </mc:Choice>
  </mc:AlternateContent>
  <xr:revisionPtr revIDLastSave="0" documentId="13_ncr:1_{7500ECA5-E394-44C9-8D09-2A2D3960262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CHM" sheetId="1" r:id="rId1"/>
    <sheet name="suivi" sheetId="2" r:id="rId2"/>
    <sheet name="trouver n" sheetId="4" r:id="rId3"/>
    <sheet name="courbe d'efficacité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2" l="1"/>
  <c r="K30" i="2"/>
  <c r="I31" i="2"/>
  <c r="K31" i="2"/>
  <c r="I32" i="2"/>
  <c r="K32" i="2"/>
  <c r="I33" i="2"/>
  <c r="K33" i="2"/>
  <c r="I34" i="2"/>
  <c r="K34" i="2"/>
  <c r="I35" i="2"/>
  <c r="K35" i="2"/>
  <c r="I36" i="2"/>
  <c r="K36" i="2"/>
  <c r="I37" i="2"/>
  <c r="K37" i="2"/>
  <c r="I38" i="2"/>
  <c r="K38" i="2"/>
  <c r="I39" i="2"/>
  <c r="K39" i="2"/>
  <c r="I40" i="2"/>
  <c r="K40" i="2"/>
  <c r="I41" i="2"/>
  <c r="K41" i="2"/>
  <c r="I42" i="2"/>
  <c r="K42" i="2"/>
  <c r="I43" i="2"/>
  <c r="K43" i="2"/>
  <c r="I44" i="2"/>
  <c r="K44" i="2"/>
  <c r="I45" i="2"/>
  <c r="K45" i="2"/>
  <c r="I46" i="2"/>
  <c r="K46" i="2"/>
  <c r="I47" i="2"/>
  <c r="K47" i="2"/>
  <c r="I48" i="2"/>
  <c r="K48" i="2"/>
  <c r="I49" i="2"/>
  <c r="K49" i="2"/>
  <c r="D10" i="4"/>
  <c r="D11" i="4" s="1"/>
  <c r="D12" i="4" s="1"/>
  <c r="D13" i="4" s="1"/>
  <c r="D9" i="4"/>
  <c r="J6" i="4"/>
  <c r="B77" i="3"/>
  <c r="O24" i="3"/>
  <c r="N24" i="3"/>
  <c r="D24" i="3"/>
  <c r="O23" i="3"/>
  <c r="N23" i="3"/>
  <c r="O22" i="3"/>
  <c r="N22" i="3"/>
  <c r="O21" i="3"/>
  <c r="N21" i="3"/>
  <c r="D21" i="3"/>
  <c r="D22" i="3" s="1"/>
  <c r="O20" i="3"/>
  <c r="N20" i="3"/>
  <c r="D20" i="3"/>
  <c r="O19" i="3"/>
  <c r="N19" i="3"/>
  <c r="S18" i="3"/>
  <c r="O18" i="3"/>
  <c r="N18" i="3"/>
  <c r="O17" i="3"/>
  <c r="N17" i="3"/>
  <c r="U16" i="3"/>
  <c r="S16" i="3"/>
  <c r="O16" i="3"/>
  <c r="N16" i="3"/>
  <c r="D16" i="3"/>
  <c r="U15" i="3"/>
  <c r="O15" i="3"/>
  <c r="N15" i="3"/>
  <c r="O14" i="3"/>
  <c r="N14" i="3"/>
  <c r="O13" i="3"/>
  <c r="N13" i="3"/>
  <c r="D13" i="3"/>
  <c r="D14" i="3" s="1"/>
  <c r="S12" i="3"/>
  <c r="O12" i="3"/>
  <c r="N12" i="3"/>
  <c r="D12" i="3"/>
  <c r="U11" i="3"/>
  <c r="T11" i="3"/>
  <c r="T12" i="3" s="1"/>
  <c r="S11" i="3"/>
  <c r="O11" i="3"/>
  <c r="N11" i="3"/>
  <c r="U10" i="3"/>
  <c r="T10" i="3"/>
  <c r="V10" i="3" s="1"/>
  <c r="S10" i="3"/>
  <c r="O10" i="3"/>
  <c r="N10" i="3"/>
  <c r="U9" i="3"/>
  <c r="T9" i="3"/>
  <c r="S9" i="3"/>
  <c r="O9" i="3"/>
  <c r="N9" i="3"/>
  <c r="O8" i="3"/>
  <c r="N8" i="3"/>
  <c r="O7" i="3"/>
  <c r="N7" i="3"/>
  <c r="C7" i="3"/>
  <c r="C8" i="3" s="1"/>
  <c r="T6" i="3"/>
  <c r="D17" i="3" s="1"/>
  <c r="U6" i="3" s="1"/>
  <c r="S6" i="3"/>
  <c r="O6" i="3"/>
  <c r="N6" i="3"/>
  <c r="U5" i="3"/>
  <c r="T5" i="3"/>
  <c r="O5" i="3"/>
  <c r="N5" i="3"/>
  <c r="U4" i="3"/>
  <c r="T4" i="3"/>
  <c r="V4" i="3" s="1"/>
  <c r="S4" i="3"/>
  <c r="O4" i="3"/>
  <c r="N4" i="3"/>
  <c r="U3" i="3"/>
  <c r="T3" i="3"/>
  <c r="K29" i="2"/>
  <c r="I29" i="2"/>
  <c r="K28" i="2"/>
  <c r="I28" i="2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I6" i="2"/>
  <c r="K6" i="2" s="1"/>
  <c r="I5" i="2"/>
  <c r="K5" i="2" s="1"/>
  <c r="G99" i="1"/>
  <c r="H99" i="1" s="1"/>
  <c r="I99" i="1" s="1"/>
  <c r="K99" i="1" s="1"/>
  <c r="L99" i="1" s="1"/>
  <c r="M99" i="1" s="1"/>
  <c r="N99" i="1" s="1"/>
  <c r="O99" i="1" s="1"/>
  <c r="AA36" i="1"/>
  <c r="AC36" i="1"/>
  <c r="Y33" i="1"/>
  <c r="Z33" i="1"/>
  <c r="AA33" i="1" s="1"/>
  <c r="Y34" i="1"/>
  <c r="Z34" i="1"/>
  <c r="AA34" i="1" s="1"/>
  <c r="Y35" i="1"/>
  <c r="Z35" i="1"/>
  <c r="AA35" i="1" s="1"/>
  <c r="Y36" i="1"/>
  <c r="Z36" i="1"/>
  <c r="G100" i="1" s="1"/>
  <c r="H100" i="1" s="1"/>
  <c r="I100" i="1" s="1"/>
  <c r="K100" i="1" s="1"/>
  <c r="L100" i="1" s="1"/>
  <c r="M100" i="1" s="1"/>
  <c r="N100" i="1" s="1"/>
  <c r="O100" i="1" s="1"/>
  <c r="Y37" i="1"/>
  <c r="Z37" i="1"/>
  <c r="AA37" i="1" s="1"/>
  <c r="Y38" i="1"/>
  <c r="Z38" i="1"/>
  <c r="G102" i="1" s="1"/>
  <c r="E61" i="1"/>
  <c r="H61" i="1" s="1"/>
  <c r="E60" i="1"/>
  <c r="J60" i="1" s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2" i="1"/>
  <c r="D50" i="1"/>
  <c r="P18" i="3" l="1"/>
  <c r="T17" i="3"/>
  <c r="P10" i="3"/>
  <c r="P22" i="3"/>
  <c r="P21" i="3"/>
  <c r="P20" i="3"/>
  <c r="P19" i="3"/>
  <c r="P17" i="3"/>
  <c r="V16" i="3"/>
  <c r="P16" i="3"/>
  <c r="P11" i="3"/>
  <c r="P8" i="3"/>
  <c r="P7" i="3"/>
  <c r="P6" i="3"/>
  <c r="P4" i="3"/>
  <c r="P24" i="3"/>
  <c r="P23" i="3"/>
  <c r="P5" i="3"/>
  <c r="U17" i="3"/>
  <c r="U18" i="3" s="1"/>
  <c r="P15" i="3"/>
  <c r="T18" i="3"/>
  <c r="D25" i="3" s="1"/>
  <c r="U12" i="3" s="1"/>
  <c r="T15" i="3"/>
  <c r="P14" i="3"/>
  <c r="P13" i="3"/>
  <c r="P12" i="3"/>
  <c r="P9" i="3"/>
  <c r="T16" i="3"/>
  <c r="V12" i="3"/>
  <c r="V6" i="3"/>
  <c r="V18" i="3" s="1"/>
  <c r="J5" i="2"/>
  <c r="H97" i="1"/>
  <c r="I97" i="1" s="1"/>
  <c r="K97" i="1" s="1"/>
  <c r="L97" i="1" s="1"/>
  <c r="M97" i="1" s="1"/>
  <c r="N97" i="1" s="1"/>
  <c r="O97" i="1" s="1"/>
  <c r="H102" i="1"/>
  <c r="I102" i="1" s="1"/>
  <c r="K102" i="1" s="1"/>
  <c r="L102" i="1" s="1"/>
  <c r="M102" i="1" s="1"/>
  <c r="N102" i="1" s="1"/>
  <c r="O102" i="1" s="1"/>
  <c r="AC38" i="1"/>
  <c r="AC34" i="1"/>
  <c r="AB38" i="1"/>
  <c r="AB36" i="1"/>
  <c r="AB34" i="1"/>
  <c r="G98" i="1"/>
  <c r="H98" i="1" s="1"/>
  <c r="I98" i="1" s="1"/>
  <c r="K98" i="1" s="1"/>
  <c r="L98" i="1" s="1"/>
  <c r="M98" i="1" s="1"/>
  <c r="N98" i="1" s="1"/>
  <c r="O98" i="1" s="1"/>
  <c r="AA38" i="1"/>
  <c r="AC37" i="1"/>
  <c r="AC35" i="1"/>
  <c r="AC33" i="1"/>
  <c r="AB37" i="1"/>
  <c r="AB35" i="1"/>
  <c r="AB33" i="1"/>
  <c r="G101" i="1"/>
  <c r="H101" i="1" s="1"/>
  <c r="I101" i="1" s="1"/>
  <c r="K101" i="1" s="1"/>
  <c r="L101" i="1" s="1"/>
  <c r="M101" i="1" s="1"/>
  <c r="N101" i="1" s="1"/>
  <c r="O101" i="1" s="1"/>
  <c r="G97" i="1"/>
  <c r="G60" i="1"/>
  <c r="I60" i="1"/>
  <c r="G61" i="1"/>
  <c r="I61" i="1"/>
  <c r="H60" i="1"/>
  <c r="F61" i="1"/>
  <c r="J61" i="1"/>
  <c r="F60" i="1"/>
  <c r="E95" i="1"/>
  <c r="E96" i="1"/>
  <c r="E97" i="1"/>
  <c r="E98" i="1"/>
  <c r="E99" i="1"/>
  <c r="E100" i="1"/>
  <c r="E101" i="1"/>
  <c r="E102" i="1"/>
  <c r="D132" i="1"/>
  <c r="D147" i="1" s="1"/>
  <c r="M147" i="1" s="1"/>
  <c r="D131" i="1"/>
  <c r="K131" i="1" s="1"/>
  <c r="D130" i="1"/>
  <c r="I130" i="1" s="1"/>
  <c r="D129" i="1"/>
  <c r="T129" i="1" s="1"/>
  <c r="D128" i="1"/>
  <c r="R128" i="1" s="1"/>
  <c r="D127" i="1"/>
  <c r="L127" i="1" s="1"/>
  <c r="D126" i="1"/>
  <c r="T126" i="1" s="1"/>
  <c r="D125" i="1"/>
  <c r="R125" i="1" s="1"/>
  <c r="D124" i="1"/>
  <c r="P124" i="1" s="1"/>
  <c r="D123" i="1"/>
  <c r="D138" i="1" s="1"/>
  <c r="F138" i="1" s="1"/>
  <c r="D122" i="1"/>
  <c r="D137" i="1" s="1"/>
  <c r="S137" i="1" s="1"/>
  <c r="D121" i="1"/>
  <c r="R121" i="1" s="1"/>
  <c r="D120" i="1"/>
  <c r="P120" i="1" s="1"/>
  <c r="T117" i="1"/>
  <c r="S117" i="1"/>
  <c r="R117" i="1"/>
  <c r="Q117" i="1"/>
  <c r="P117" i="1"/>
  <c r="O117" i="1"/>
  <c r="T116" i="1"/>
  <c r="S116" i="1"/>
  <c r="R116" i="1"/>
  <c r="Q116" i="1"/>
  <c r="P116" i="1"/>
  <c r="T115" i="1"/>
  <c r="S115" i="1"/>
  <c r="R115" i="1"/>
  <c r="Q115" i="1"/>
  <c r="E115" i="1"/>
  <c r="T114" i="1"/>
  <c r="S114" i="1"/>
  <c r="R114" i="1"/>
  <c r="F114" i="1"/>
  <c r="E114" i="1"/>
  <c r="T113" i="1"/>
  <c r="S113" i="1"/>
  <c r="G113" i="1"/>
  <c r="F113" i="1"/>
  <c r="E113" i="1"/>
  <c r="T112" i="1"/>
  <c r="H112" i="1"/>
  <c r="G112" i="1"/>
  <c r="F112" i="1"/>
  <c r="E112" i="1"/>
  <c r="I111" i="1"/>
  <c r="H111" i="1"/>
  <c r="G111" i="1"/>
  <c r="F111" i="1"/>
  <c r="E111" i="1"/>
  <c r="J110" i="1"/>
  <c r="I110" i="1"/>
  <c r="H110" i="1"/>
  <c r="G110" i="1"/>
  <c r="F110" i="1"/>
  <c r="E110" i="1"/>
  <c r="K109" i="1"/>
  <c r="J109" i="1"/>
  <c r="I109" i="1"/>
  <c r="H109" i="1"/>
  <c r="G109" i="1"/>
  <c r="F109" i="1"/>
  <c r="E109" i="1"/>
  <c r="L108" i="1"/>
  <c r="K108" i="1"/>
  <c r="J108" i="1"/>
  <c r="I108" i="1"/>
  <c r="H108" i="1"/>
  <c r="G108" i="1"/>
  <c r="F108" i="1"/>
  <c r="E108" i="1"/>
  <c r="M107" i="1"/>
  <c r="L107" i="1"/>
  <c r="K107" i="1"/>
  <c r="J107" i="1"/>
  <c r="I107" i="1"/>
  <c r="H107" i="1"/>
  <c r="G107" i="1"/>
  <c r="F107" i="1"/>
  <c r="E107" i="1"/>
  <c r="N106" i="1"/>
  <c r="M106" i="1"/>
  <c r="L106" i="1"/>
  <c r="K106" i="1"/>
  <c r="J106" i="1"/>
  <c r="I106" i="1"/>
  <c r="H106" i="1"/>
  <c r="G106" i="1"/>
  <c r="F106" i="1"/>
  <c r="E106" i="1"/>
  <c r="O105" i="1"/>
  <c r="N105" i="1"/>
  <c r="M105" i="1"/>
  <c r="L105" i="1"/>
  <c r="K105" i="1"/>
  <c r="J105" i="1"/>
  <c r="I105" i="1"/>
  <c r="H105" i="1"/>
  <c r="G105" i="1"/>
  <c r="F105" i="1"/>
  <c r="E105" i="1"/>
  <c r="E94" i="1"/>
  <c r="E92" i="1"/>
  <c r="E90" i="1"/>
  <c r="E88" i="1"/>
  <c r="E86" i="1"/>
  <c r="E84" i="1"/>
  <c r="E82" i="1"/>
  <c r="E80" i="1"/>
  <c r="E78" i="1"/>
  <c r="J76" i="1"/>
  <c r="E76" i="1"/>
  <c r="J59" i="1"/>
  <c r="I59" i="1"/>
  <c r="H59" i="1"/>
  <c r="G59" i="1"/>
  <c r="F59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Z28" i="1"/>
  <c r="AB28" i="1" s="1"/>
  <c r="Y28" i="1"/>
  <c r="Z26" i="1"/>
  <c r="G90" i="1" s="1"/>
  <c r="Y26" i="1"/>
  <c r="H91" i="1" s="1"/>
  <c r="I91" i="1" s="1"/>
  <c r="K91" i="1" s="1"/>
  <c r="L91" i="1" s="1"/>
  <c r="M91" i="1" s="1"/>
  <c r="N91" i="1" s="1"/>
  <c r="Z24" i="1"/>
  <c r="AB24" i="1" s="1"/>
  <c r="Y24" i="1"/>
  <c r="AC22" i="1"/>
  <c r="AB22" i="1"/>
  <c r="AA22" i="1"/>
  <c r="Z22" i="1"/>
  <c r="G86" i="1" s="1"/>
  <c r="Y22" i="1"/>
  <c r="H87" i="1" s="1"/>
  <c r="I87" i="1" s="1"/>
  <c r="K87" i="1" s="1"/>
  <c r="L87" i="1" s="1"/>
  <c r="M87" i="1" s="1"/>
  <c r="N87" i="1" s="1"/>
  <c r="Z20" i="1"/>
  <c r="AB20" i="1" s="1"/>
  <c r="Y20" i="1"/>
  <c r="AC18" i="1"/>
  <c r="Z18" i="1"/>
  <c r="G82" i="1" s="1"/>
  <c r="Y18" i="1"/>
  <c r="J6" i="2" l="1"/>
  <c r="C7" i="2" s="1"/>
  <c r="C6" i="2"/>
  <c r="J7" i="2" s="1"/>
  <c r="C8" i="2" s="1"/>
  <c r="AA18" i="1"/>
  <c r="AA26" i="1"/>
  <c r="H83" i="1"/>
  <c r="I83" i="1" s="1"/>
  <c r="K83" i="1" s="1"/>
  <c r="L83" i="1" s="1"/>
  <c r="M83" i="1" s="1"/>
  <c r="N83" i="1" s="1"/>
  <c r="AC26" i="1"/>
  <c r="Z32" i="1"/>
  <c r="G96" i="1" s="1"/>
  <c r="Y31" i="1"/>
  <c r="Z31" i="1"/>
  <c r="G95" i="1" s="1"/>
  <c r="Y32" i="1"/>
  <c r="H128" i="1"/>
  <c r="J129" i="1"/>
  <c r="G121" i="1"/>
  <c r="I121" i="1"/>
  <c r="G126" i="1"/>
  <c r="O121" i="1"/>
  <c r="J126" i="1"/>
  <c r="S128" i="1"/>
  <c r="E121" i="1"/>
  <c r="Q121" i="1"/>
  <c r="P131" i="1"/>
  <c r="O123" i="1"/>
  <c r="L128" i="1"/>
  <c r="M129" i="1"/>
  <c r="Q130" i="1"/>
  <c r="K125" i="1"/>
  <c r="G123" i="1"/>
  <c r="R123" i="1"/>
  <c r="N126" i="1"/>
  <c r="F128" i="1"/>
  <c r="N128" i="1"/>
  <c r="E129" i="1"/>
  <c r="O129" i="1"/>
  <c r="G132" i="1"/>
  <c r="M123" i="1"/>
  <c r="E123" i="1"/>
  <c r="M121" i="1"/>
  <c r="J122" i="1"/>
  <c r="J123" i="1"/>
  <c r="F126" i="1"/>
  <c r="R126" i="1"/>
  <c r="G128" i="1"/>
  <c r="P128" i="1"/>
  <c r="G129" i="1"/>
  <c r="R129" i="1"/>
  <c r="H131" i="1"/>
  <c r="O137" i="1"/>
  <c r="M127" i="1"/>
  <c r="K121" i="1"/>
  <c r="S121" i="1"/>
  <c r="N122" i="1"/>
  <c r="F123" i="1"/>
  <c r="K123" i="1"/>
  <c r="Q123" i="1"/>
  <c r="O125" i="1"/>
  <c r="O126" i="1"/>
  <c r="G127" i="1"/>
  <c r="Q127" i="1"/>
  <c r="I129" i="1"/>
  <c r="N129" i="1"/>
  <c r="S129" i="1"/>
  <c r="S131" i="1"/>
  <c r="J132" i="1"/>
  <c r="N138" i="1"/>
  <c r="R122" i="1"/>
  <c r="S125" i="1"/>
  <c r="H127" i="1"/>
  <c r="S127" i="1"/>
  <c r="N132" i="1"/>
  <c r="R138" i="1"/>
  <c r="E147" i="1"/>
  <c r="F122" i="1"/>
  <c r="I123" i="1"/>
  <c r="N123" i="1"/>
  <c r="S123" i="1"/>
  <c r="G125" i="1"/>
  <c r="K126" i="1"/>
  <c r="K128" i="1"/>
  <c r="F129" i="1"/>
  <c r="K129" i="1"/>
  <c r="Q129" i="1"/>
  <c r="F132" i="1"/>
  <c r="R132" i="1"/>
  <c r="D144" i="1"/>
  <c r="O144" i="1" s="1"/>
  <c r="I147" i="1"/>
  <c r="Y14" i="1"/>
  <c r="Y12" i="1"/>
  <c r="Y16" i="1"/>
  <c r="Z30" i="1"/>
  <c r="H82" i="1"/>
  <c r="I82" i="1" s="1"/>
  <c r="K82" i="1" s="1"/>
  <c r="L82" i="1" s="1"/>
  <c r="M82" i="1" s="1"/>
  <c r="N82" i="1" s="1"/>
  <c r="Z12" i="1"/>
  <c r="G84" i="1"/>
  <c r="H84" i="1" s="1"/>
  <c r="I84" i="1" s="1"/>
  <c r="K84" i="1" s="1"/>
  <c r="L84" i="1" s="1"/>
  <c r="M84" i="1" s="1"/>
  <c r="N84" i="1" s="1"/>
  <c r="AA20" i="1"/>
  <c r="AC20" i="1"/>
  <c r="G88" i="1"/>
  <c r="H88" i="1" s="1"/>
  <c r="I88" i="1" s="1"/>
  <c r="K88" i="1" s="1"/>
  <c r="L88" i="1" s="1"/>
  <c r="M88" i="1" s="1"/>
  <c r="N88" i="1" s="1"/>
  <c r="AC24" i="1"/>
  <c r="AA24" i="1"/>
  <c r="D135" i="1"/>
  <c r="S120" i="1"/>
  <c r="O120" i="1"/>
  <c r="K120" i="1"/>
  <c r="G120" i="1"/>
  <c r="R120" i="1"/>
  <c r="N120" i="1"/>
  <c r="J120" i="1"/>
  <c r="F120" i="1"/>
  <c r="Q120" i="1"/>
  <c r="M120" i="1"/>
  <c r="I120" i="1"/>
  <c r="E120" i="1"/>
  <c r="T120" i="1"/>
  <c r="D139" i="1"/>
  <c r="S124" i="1"/>
  <c r="O124" i="1"/>
  <c r="K124" i="1"/>
  <c r="G124" i="1"/>
  <c r="R124" i="1"/>
  <c r="N124" i="1"/>
  <c r="J124" i="1"/>
  <c r="F124" i="1"/>
  <c r="Q124" i="1"/>
  <c r="M124" i="1"/>
  <c r="I124" i="1"/>
  <c r="E124" i="1"/>
  <c r="T124" i="1"/>
  <c r="G92" i="1"/>
  <c r="H92" i="1" s="1"/>
  <c r="I92" i="1" s="1"/>
  <c r="K92" i="1" s="1"/>
  <c r="L92" i="1" s="1"/>
  <c r="M92" i="1" s="1"/>
  <c r="N92" i="1" s="1"/>
  <c r="AA28" i="1"/>
  <c r="AC28" i="1"/>
  <c r="H90" i="1"/>
  <c r="I90" i="1" s="1"/>
  <c r="K90" i="1" s="1"/>
  <c r="L90" i="1" s="1"/>
  <c r="M90" i="1" s="1"/>
  <c r="N90" i="1" s="1"/>
  <c r="O90" i="1" s="1"/>
  <c r="Z16" i="1"/>
  <c r="Y30" i="1"/>
  <c r="Z14" i="1"/>
  <c r="H86" i="1"/>
  <c r="I86" i="1" s="1"/>
  <c r="K86" i="1" s="1"/>
  <c r="L86" i="1" s="1"/>
  <c r="M86" i="1" s="1"/>
  <c r="N86" i="1" s="1"/>
  <c r="O86" i="1" s="1"/>
  <c r="H120" i="1"/>
  <c r="H124" i="1"/>
  <c r="L120" i="1"/>
  <c r="L124" i="1"/>
  <c r="H121" i="1"/>
  <c r="L121" i="1"/>
  <c r="P121" i="1"/>
  <c r="T121" i="1"/>
  <c r="G122" i="1"/>
  <c r="K122" i="1"/>
  <c r="O122" i="1"/>
  <c r="S122" i="1"/>
  <c r="H125" i="1"/>
  <c r="L125" i="1"/>
  <c r="P125" i="1"/>
  <c r="T125" i="1"/>
  <c r="S130" i="1"/>
  <c r="O130" i="1"/>
  <c r="K130" i="1"/>
  <c r="G130" i="1"/>
  <c r="R130" i="1"/>
  <c r="N130" i="1"/>
  <c r="J130" i="1"/>
  <c r="F130" i="1"/>
  <c r="D145" i="1"/>
  <c r="L130" i="1"/>
  <c r="T130" i="1"/>
  <c r="D136" i="1"/>
  <c r="R137" i="1"/>
  <c r="N137" i="1"/>
  <c r="J137" i="1"/>
  <c r="F137" i="1"/>
  <c r="Q137" i="1"/>
  <c r="M137" i="1"/>
  <c r="I137" i="1"/>
  <c r="E137" i="1"/>
  <c r="T137" i="1"/>
  <c r="P137" i="1"/>
  <c r="L137" i="1"/>
  <c r="H137" i="1"/>
  <c r="H122" i="1"/>
  <c r="L122" i="1"/>
  <c r="P122" i="1"/>
  <c r="T122" i="1"/>
  <c r="E125" i="1"/>
  <c r="I125" i="1"/>
  <c r="M125" i="1"/>
  <c r="Q125" i="1"/>
  <c r="S126" i="1"/>
  <c r="D141" i="1"/>
  <c r="H126" i="1"/>
  <c r="L126" i="1"/>
  <c r="P126" i="1"/>
  <c r="R127" i="1"/>
  <c r="N127" i="1"/>
  <c r="J127" i="1"/>
  <c r="F127" i="1"/>
  <c r="D142" i="1"/>
  <c r="I127" i="1"/>
  <c r="O127" i="1"/>
  <c r="T127" i="1"/>
  <c r="E130" i="1"/>
  <c r="M130" i="1"/>
  <c r="R131" i="1"/>
  <c r="N131" i="1"/>
  <c r="J131" i="1"/>
  <c r="F131" i="1"/>
  <c r="D146" i="1"/>
  <c r="Q131" i="1"/>
  <c r="M131" i="1"/>
  <c r="I131" i="1"/>
  <c r="E131" i="1"/>
  <c r="L131" i="1"/>
  <c r="T131" i="1"/>
  <c r="G137" i="1"/>
  <c r="D140" i="1"/>
  <c r="AB18" i="1"/>
  <c r="AB26" i="1"/>
  <c r="F121" i="1"/>
  <c r="J121" i="1"/>
  <c r="N121" i="1"/>
  <c r="E122" i="1"/>
  <c r="I122" i="1"/>
  <c r="M122" i="1"/>
  <c r="Q122" i="1"/>
  <c r="Q138" i="1"/>
  <c r="M138" i="1"/>
  <c r="I138" i="1"/>
  <c r="E138" i="1"/>
  <c r="T138" i="1"/>
  <c r="P138" i="1"/>
  <c r="L138" i="1"/>
  <c r="H138" i="1"/>
  <c r="S138" i="1"/>
  <c r="O138" i="1"/>
  <c r="K138" i="1"/>
  <c r="G138" i="1"/>
  <c r="H123" i="1"/>
  <c r="L123" i="1"/>
  <c r="P123" i="1"/>
  <c r="T123" i="1"/>
  <c r="F125" i="1"/>
  <c r="J125" i="1"/>
  <c r="N125" i="1"/>
  <c r="E126" i="1"/>
  <c r="I126" i="1"/>
  <c r="M126" i="1"/>
  <c r="Q126" i="1"/>
  <c r="E127" i="1"/>
  <c r="K127" i="1"/>
  <c r="P127" i="1"/>
  <c r="D143" i="1"/>
  <c r="Q128" i="1"/>
  <c r="M128" i="1"/>
  <c r="I128" i="1"/>
  <c r="E128" i="1"/>
  <c r="J128" i="1"/>
  <c r="O128" i="1"/>
  <c r="T128" i="1"/>
  <c r="H130" i="1"/>
  <c r="P130" i="1"/>
  <c r="G131" i="1"/>
  <c r="O131" i="1"/>
  <c r="T147" i="1"/>
  <c r="P147" i="1"/>
  <c r="L147" i="1"/>
  <c r="H147" i="1"/>
  <c r="S147" i="1"/>
  <c r="O147" i="1"/>
  <c r="K147" i="1"/>
  <c r="G147" i="1"/>
  <c r="R147" i="1"/>
  <c r="N147" i="1"/>
  <c r="J147" i="1"/>
  <c r="F147" i="1"/>
  <c r="K137" i="1"/>
  <c r="J138" i="1"/>
  <c r="Q147" i="1"/>
  <c r="K132" i="1"/>
  <c r="O132" i="1"/>
  <c r="S132" i="1"/>
  <c r="H132" i="1"/>
  <c r="L132" i="1"/>
  <c r="P132" i="1"/>
  <c r="T132" i="1"/>
  <c r="H129" i="1"/>
  <c r="L129" i="1"/>
  <c r="P129" i="1"/>
  <c r="E132" i="1"/>
  <c r="I132" i="1"/>
  <c r="M132" i="1"/>
  <c r="Q132" i="1"/>
  <c r="J8" i="2" l="1"/>
  <c r="C9" i="2" s="1"/>
  <c r="H89" i="1"/>
  <c r="I89" i="1" s="1"/>
  <c r="K89" i="1" s="1"/>
  <c r="L89" i="1" s="1"/>
  <c r="M89" i="1" s="1"/>
  <c r="N89" i="1" s="1"/>
  <c r="H93" i="1"/>
  <c r="I93" i="1" s="1"/>
  <c r="K93" i="1" s="1"/>
  <c r="L93" i="1" s="1"/>
  <c r="M93" i="1" s="1"/>
  <c r="N93" i="1" s="1"/>
  <c r="O82" i="1"/>
  <c r="H96" i="1"/>
  <c r="I96" i="1" s="1"/>
  <c r="K96" i="1" s="1"/>
  <c r="L96" i="1" s="1"/>
  <c r="M96" i="1" s="1"/>
  <c r="N96" i="1" s="1"/>
  <c r="O96" i="1" s="1"/>
  <c r="H95" i="1"/>
  <c r="I95" i="1" s="1"/>
  <c r="K95" i="1" s="1"/>
  <c r="L95" i="1" s="1"/>
  <c r="M95" i="1" s="1"/>
  <c r="N95" i="1" s="1"/>
  <c r="O95" i="1" s="1"/>
  <c r="AB31" i="1"/>
  <c r="AC31" i="1"/>
  <c r="AC32" i="1"/>
  <c r="AA32" i="1"/>
  <c r="AA30" i="1"/>
  <c r="AB30" i="1"/>
  <c r="R144" i="1"/>
  <c r="E144" i="1"/>
  <c r="F144" i="1"/>
  <c r="G144" i="1"/>
  <c r="T144" i="1"/>
  <c r="Q144" i="1"/>
  <c r="I144" i="1"/>
  <c r="J144" i="1"/>
  <c r="K144" i="1"/>
  <c r="S144" i="1"/>
  <c r="M144" i="1"/>
  <c r="N144" i="1"/>
  <c r="P144" i="1"/>
  <c r="H144" i="1"/>
  <c r="L144" i="1"/>
  <c r="G94" i="1"/>
  <c r="O88" i="1"/>
  <c r="T143" i="1"/>
  <c r="P143" i="1"/>
  <c r="L143" i="1"/>
  <c r="H143" i="1"/>
  <c r="S143" i="1"/>
  <c r="O143" i="1"/>
  <c r="K143" i="1"/>
  <c r="G143" i="1"/>
  <c r="R143" i="1"/>
  <c r="N143" i="1"/>
  <c r="J143" i="1"/>
  <c r="F143" i="1"/>
  <c r="E143" i="1"/>
  <c r="Q143" i="1"/>
  <c r="M143" i="1"/>
  <c r="I143" i="1"/>
  <c r="S140" i="1"/>
  <c r="O140" i="1"/>
  <c r="K140" i="1"/>
  <c r="G140" i="1"/>
  <c r="R140" i="1"/>
  <c r="N140" i="1"/>
  <c r="J140" i="1"/>
  <c r="F140" i="1"/>
  <c r="Q140" i="1"/>
  <c r="M140" i="1"/>
  <c r="I140" i="1"/>
  <c r="E140" i="1"/>
  <c r="H140" i="1"/>
  <c r="T140" i="1"/>
  <c r="P140" i="1"/>
  <c r="L140" i="1"/>
  <c r="Q146" i="1"/>
  <c r="M146" i="1"/>
  <c r="I146" i="1"/>
  <c r="E146" i="1"/>
  <c r="T146" i="1"/>
  <c r="P146" i="1"/>
  <c r="L146" i="1"/>
  <c r="H146" i="1"/>
  <c r="S146" i="1"/>
  <c r="O146" i="1"/>
  <c r="K146" i="1"/>
  <c r="G146" i="1"/>
  <c r="R146" i="1"/>
  <c r="N146" i="1"/>
  <c r="J146" i="1"/>
  <c r="F146" i="1"/>
  <c r="S136" i="1"/>
  <c r="O136" i="1"/>
  <c r="K136" i="1"/>
  <c r="G136" i="1"/>
  <c r="R136" i="1"/>
  <c r="N136" i="1"/>
  <c r="J136" i="1"/>
  <c r="F136" i="1"/>
  <c r="Q136" i="1"/>
  <c r="M136" i="1"/>
  <c r="I136" i="1"/>
  <c r="E136" i="1"/>
  <c r="L136" i="1"/>
  <c r="H136" i="1"/>
  <c r="T136" i="1"/>
  <c r="P136" i="1"/>
  <c r="T135" i="1"/>
  <c r="P135" i="1"/>
  <c r="L135" i="1"/>
  <c r="H135" i="1"/>
  <c r="S135" i="1"/>
  <c r="O135" i="1"/>
  <c r="K135" i="1"/>
  <c r="G135" i="1"/>
  <c r="R135" i="1"/>
  <c r="N135" i="1"/>
  <c r="J135" i="1"/>
  <c r="F135" i="1"/>
  <c r="M135" i="1"/>
  <c r="I135" i="1"/>
  <c r="E135" i="1"/>
  <c r="Q135" i="1"/>
  <c r="R145" i="1"/>
  <c r="N145" i="1"/>
  <c r="J145" i="1"/>
  <c r="F145" i="1"/>
  <c r="Q145" i="1"/>
  <c r="M145" i="1"/>
  <c r="I145" i="1"/>
  <c r="E145" i="1"/>
  <c r="T145" i="1"/>
  <c r="P145" i="1"/>
  <c r="L145" i="1"/>
  <c r="H145" i="1"/>
  <c r="S145" i="1"/>
  <c r="O145" i="1"/>
  <c r="K145" i="1"/>
  <c r="G145" i="1"/>
  <c r="G78" i="1"/>
  <c r="AA14" i="1"/>
  <c r="AC14" i="1"/>
  <c r="AC12" i="1"/>
  <c r="AB12" i="1"/>
  <c r="G76" i="1"/>
  <c r="G80" i="1"/>
  <c r="AA16" i="1"/>
  <c r="AB16" i="1"/>
  <c r="Q142" i="1"/>
  <c r="M142" i="1"/>
  <c r="I142" i="1"/>
  <c r="E142" i="1"/>
  <c r="T142" i="1"/>
  <c r="P142" i="1"/>
  <c r="L142" i="1"/>
  <c r="H142" i="1"/>
  <c r="S142" i="1"/>
  <c r="O142" i="1"/>
  <c r="K142" i="1"/>
  <c r="G142" i="1"/>
  <c r="F142" i="1"/>
  <c r="R142" i="1"/>
  <c r="N142" i="1"/>
  <c r="J142" i="1"/>
  <c r="R141" i="1"/>
  <c r="N141" i="1"/>
  <c r="J141" i="1"/>
  <c r="F141" i="1"/>
  <c r="Q141" i="1"/>
  <c r="M141" i="1"/>
  <c r="I141" i="1"/>
  <c r="E141" i="1"/>
  <c r="T141" i="1"/>
  <c r="P141" i="1"/>
  <c r="L141" i="1"/>
  <c r="H141" i="1"/>
  <c r="G141" i="1"/>
  <c r="S141" i="1"/>
  <c r="O141" i="1"/>
  <c r="K141" i="1"/>
  <c r="O92" i="1"/>
  <c r="T139" i="1"/>
  <c r="P139" i="1"/>
  <c r="L139" i="1"/>
  <c r="H139" i="1"/>
  <c r="S139" i="1"/>
  <c r="O139" i="1"/>
  <c r="K139" i="1"/>
  <c r="G139" i="1"/>
  <c r="R139" i="1"/>
  <c r="N139" i="1"/>
  <c r="J139" i="1"/>
  <c r="F139" i="1"/>
  <c r="I139" i="1"/>
  <c r="E139" i="1"/>
  <c r="Q139" i="1"/>
  <c r="M139" i="1"/>
  <c r="H85" i="1"/>
  <c r="I85" i="1" s="1"/>
  <c r="K85" i="1" s="1"/>
  <c r="L85" i="1" s="1"/>
  <c r="M85" i="1" s="1"/>
  <c r="N85" i="1" s="1"/>
  <c r="O84" i="1" s="1"/>
  <c r="J9" i="2" l="1"/>
  <c r="C10" i="2" s="1"/>
  <c r="AB32" i="1"/>
  <c r="H94" i="1"/>
  <c r="I94" i="1" s="1"/>
  <c r="K94" i="1" s="1"/>
  <c r="L94" i="1" s="1"/>
  <c r="M94" i="1" s="1"/>
  <c r="N94" i="1" s="1"/>
  <c r="O94" i="1" s="1"/>
  <c r="AC30" i="1" s="1"/>
  <c r="AA31" i="1"/>
  <c r="I148" i="1"/>
  <c r="N148" i="1"/>
  <c r="P148" i="1"/>
  <c r="M148" i="1"/>
  <c r="S148" i="1"/>
  <c r="H77" i="1"/>
  <c r="I77" i="1" s="1"/>
  <c r="K77" i="1" s="1"/>
  <c r="L77" i="1" s="1"/>
  <c r="M77" i="1" s="1"/>
  <c r="N77" i="1" s="1"/>
  <c r="H76" i="1"/>
  <c r="I76" i="1" s="1"/>
  <c r="K76" i="1" s="1"/>
  <c r="L76" i="1" s="1"/>
  <c r="M76" i="1" s="1"/>
  <c r="N76" i="1" s="1"/>
  <c r="Q148" i="1"/>
  <c r="F96" i="1" s="1"/>
  <c r="F148" i="1"/>
  <c r="G148" i="1"/>
  <c r="H148" i="1"/>
  <c r="O148" i="1"/>
  <c r="H80" i="1"/>
  <c r="I80" i="1" s="1"/>
  <c r="K80" i="1" s="1"/>
  <c r="L80" i="1" s="1"/>
  <c r="M80" i="1" s="1"/>
  <c r="N80" i="1" s="1"/>
  <c r="H81" i="1"/>
  <c r="I81" i="1" s="1"/>
  <c r="K81" i="1" s="1"/>
  <c r="L81" i="1" s="1"/>
  <c r="M81" i="1" s="1"/>
  <c r="N81" i="1" s="1"/>
  <c r="H78" i="1"/>
  <c r="I78" i="1" s="1"/>
  <c r="K78" i="1" s="1"/>
  <c r="L78" i="1" s="1"/>
  <c r="M78" i="1" s="1"/>
  <c r="N78" i="1" s="1"/>
  <c r="H79" i="1"/>
  <c r="I79" i="1" s="1"/>
  <c r="K79" i="1" s="1"/>
  <c r="L79" i="1" s="1"/>
  <c r="M79" i="1" s="1"/>
  <c r="N79" i="1" s="1"/>
  <c r="R148" i="1"/>
  <c r="T148" i="1"/>
  <c r="E148" i="1"/>
  <c r="J148" i="1"/>
  <c r="K148" i="1"/>
  <c r="L148" i="1"/>
  <c r="J10" i="2" l="1"/>
  <c r="C11" i="2" s="1"/>
  <c r="J12" i="2" s="1"/>
  <c r="C13" i="2" s="1"/>
  <c r="J14" i="2" s="1"/>
  <c r="C15" i="2" s="1"/>
  <c r="J16" i="2" s="1"/>
  <c r="C17" i="2" s="1"/>
  <c r="F97" i="1"/>
  <c r="F98" i="1"/>
  <c r="F102" i="1"/>
  <c r="F101" i="1"/>
  <c r="F90" i="1"/>
  <c r="F99" i="1"/>
  <c r="F95" i="1"/>
  <c r="F100" i="1"/>
  <c r="O76" i="1"/>
  <c r="AA12" i="1" s="1"/>
  <c r="AA39" i="1" s="1"/>
  <c r="O78" i="1"/>
  <c r="AB14" i="1" s="1"/>
  <c r="AB39" i="1" s="1"/>
  <c r="F78" i="1"/>
  <c r="AB40" i="1"/>
  <c r="Z42" i="1"/>
  <c r="AA40" i="1" s="1"/>
  <c r="F92" i="1"/>
  <c r="F76" i="1"/>
  <c r="F88" i="1"/>
  <c r="F84" i="1"/>
  <c r="F86" i="1"/>
  <c r="F82" i="1"/>
  <c r="AC40" i="1"/>
  <c r="F94" i="1"/>
  <c r="F80" i="1"/>
  <c r="O80" i="1"/>
  <c r="AC16" i="1" s="1"/>
  <c r="AC39" i="1" s="1"/>
  <c r="J11" i="2" l="1"/>
  <c r="C12" i="2" s="1"/>
  <c r="J13" i="2" s="1"/>
  <c r="C14" i="2" s="1"/>
  <c r="J15" i="2" s="1"/>
  <c r="C16" i="2" s="1"/>
  <c r="J17" i="2" s="1"/>
  <c r="C18" i="2" s="1"/>
  <c r="AA41" i="1"/>
  <c r="AC41" i="1"/>
  <c r="AB41" i="1"/>
  <c r="J19" i="2" l="1"/>
  <c r="C20" i="2" s="1"/>
  <c r="J21" i="2" s="1"/>
  <c r="C22" i="2" s="1"/>
  <c r="J18" i="2"/>
  <c r="C19" i="2" s="1"/>
  <c r="J20" i="2" s="1"/>
  <c r="C21" i="2" s="1"/>
  <c r="J22" i="2" l="1"/>
  <c r="C23" i="2" s="1"/>
  <c r="J23" i="2" l="1"/>
  <c r="C24" i="2" s="1"/>
  <c r="J24" i="2"/>
  <c r="C25" i="2" s="1"/>
  <c r="J25" i="2" l="1"/>
  <c r="C26" i="2" s="1"/>
  <c r="J26" i="2" l="1"/>
  <c r="C27" i="2" s="1"/>
  <c r="J27" i="2" l="1"/>
  <c r="C28" i="2" s="1"/>
  <c r="J28" i="2" l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</calcChain>
</file>

<file path=xl/sharedStrings.xml><?xml version="1.0" encoding="utf-8"?>
<sst xmlns="http://schemas.openxmlformats.org/spreadsheetml/2006/main" count="225" uniqueCount="135">
  <si>
    <t>AQL: acceptance quality limit : worst tolerable process fraction nonconforming (ISO 3951). The range is from 0.01% to 10%</t>
  </si>
  <si>
    <t>ρ*: acceptance criteria according AQL and sample size</t>
  </si>
  <si>
    <t>ρ obs : estimation of the probabilty of nonconfirming. If ρ obs &gt; ρ*, the batch is rejected</t>
  </si>
  <si>
    <t>1 - Study (ISO 3951-2)</t>
  </si>
  <si>
    <t>2 - Tolerance / Instrument / Sample size / AQL / Result</t>
  </si>
  <si>
    <t>Control Plan</t>
  </si>
  <si>
    <t>Instrument</t>
  </si>
  <si>
    <t>ISO 3951-2</t>
  </si>
  <si>
    <t>Test result</t>
  </si>
  <si>
    <t>AQL %</t>
  </si>
  <si>
    <t>N°</t>
  </si>
  <si>
    <t>Limit</t>
  </si>
  <si>
    <t>*U instrument</t>
  </si>
  <si>
    <t>sample</t>
  </si>
  <si>
    <t>perform the test</t>
  </si>
  <si>
    <t>average</t>
  </si>
  <si>
    <t>std dev</t>
  </si>
  <si>
    <t>&lt; select AQL used in this test</t>
  </si>
  <si>
    <t>2 limits</t>
  </si>
  <si>
    <t>A</t>
  </si>
  <si>
    <t>U</t>
  </si>
  <si>
    <t>col-139</t>
  </si>
  <si>
    <t>probability of good part</t>
  </si>
  <si>
    <t>L</t>
  </si>
  <si>
    <t>B</t>
  </si>
  <si>
    <t>ME-582</t>
  </si>
  <si>
    <t>C</t>
  </si>
  <si>
    <t>NA</t>
  </si>
  <si>
    <t>1 limit</t>
  </si>
  <si>
    <t>D</t>
  </si>
  <si>
    <t>E</t>
  </si>
  <si>
    <t>col-141</t>
  </si>
  <si>
    <t>F</t>
  </si>
  <si>
    <r>
      <t xml:space="preserve">*U instrument = </t>
    </r>
    <r>
      <rPr>
        <sz val="16"/>
        <color theme="1"/>
        <rFont val="Calibri"/>
        <family val="2"/>
      </rPr>
      <t>√(σ(repeatability)^2 + (resolution/√3)^2 + U(calibrator used)^2)</t>
    </r>
  </si>
  <si>
    <t>Conclusion &gt;</t>
  </si>
  <si>
    <t>ρ obs</t>
  </si>
  <si>
    <t>&lt; probability of bad part</t>
  </si>
  <si>
    <t xml:space="preserve">operator can accept or not the batch according to the defined risk </t>
  </si>
  <si>
    <t>ρ* (G1)</t>
  </si>
  <si>
    <t>&lt; acceptable risk (ISO 3951-2)</t>
  </si>
  <si>
    <t>accept/reject</t>
  </si>
  <si>
    <t>2 - Measure</t>
  </si>
  <si>
    <t>Results</t>
  </si>
  <si>
    <t>Statistic</t>
  </si>
  <si>
    <t>ρ^ estimated</t>
  </si>
  <si>
    <t>G1</t>
  </si>
  <si>
    <t>U composé</t>
  </si>
  <si>
    <t>Q</t>
  </si>
  <si>
    <t>x</t>
  </si>
  <si>
    <t>K1</t>
  </si>
  <si>
    <t>y</t>
  </si>
  <si>
    <t>w</t>
  </si>
  <si>
    <t>t</t>
  </si>
  <si>
    <t>U or L</t>
  </si>
  <si>
    <t>U and L</t>
  </si>
  <si>
    <t>s inconnu</t>
  </si>
  <si>
    <t>7.25.7</t>
  </si>
  <si>
    <t>according to sample</t>
  </si>
  <si>
    <t>according to AQL</t>
  </si>
  <si>
    <t>sum</t>
  </si>
  <si>
    <t>TABLE A1 de la norme ISO 3951-2</t>
  </si>
  <si>
    <t>TABLE A2 de la norme ISO 3951-2</t>
  </si>
  <si>
    <t>G</t>
  </si>
  <si>
    <t>H</t>
  </si>
  <si>
    <t>I</t>
  </si>
  <si>
    <t>NQA</t>
  </si>
  <si>
    <t>Numéro du lot</t>
  </si>
  <si>
    <t>type de contrôle</t>
  </si>
  <si>
    <t>Effectif du lot    Tableau 1</t>
  </si>
  <si>
    <t>Lettre-code Tableau 2.A</t>
  </si>
  <si>
    <t>effectif de l'échantillon Tableau 2.A</t>
  </si>
  <si>
    <t>Ac applicable</t>
  </si>
  <si>
    <t>individus NC</t>
  </si>
  <si>
    <t>Acceptabilité</t>
  </si>
  <si>
    <t>Score de passage</t>
  </si>
  <si>
    <t>normal</t>
  </si>
  <si>
    <t>J</t>
  </si>
  <si>
    <t>le score est de 0 au départ</t>
  </si>
  <si>
    <t>si 2 lot / 5 successif NC --&gt; renforcé</t>
  </si>
  <si>
    <t>si Ac &gt; 2 , ajouter 3</t>
  </si>
  <si>
    <t>si 5 lot Cf --&gt; repasse en normal</t>
  </si>
  <si>
    <t>si 0&lt;Ac&lt;1, ajouter 2</t>
  </si>
  <si>
    <t>si score de passage &gt; 30 --&gt; réduit ou si 10lots/10 sont Cf</t>
  </si>
  <si>
    <t>si en réduit 1 NC --&gt; normal</t>
  </si>
  <si>
    <t>taille lot N</t>
  </si>
  <si>
    <t>loi</t>
  </si>
  <si>
    <t>binomiale</t>
  </si>
  <si>
    <t xml:space="preserve">hypergéométrique </t>
  </si>
  <si>
    <t>choix pour graphe</t>
  </si>
  <si>
    <t>Binomiale</t>
  </si>
  <si>
    <t>échantillon n</t>
  </si>
  <si>
    <r>
      <t>↗</t>
    </r>
    <r>
      <rPr>
        <sz val="9.35"/>
        <color theme="1"/>
        <rFont val="Calibri"/>
        <family val="2"/>
      </rPr>
      <t xml:space="preserve"> si risque β trop grand</t>
    </r>
  </si>
  <si>
    <t>% defectueux</t>
  </si>
  <si>
    <t>Pa (%)</t>
  </si>
  <si>
    <t>risque Fn</t>
  </si>
  <si>
    <t>AQL</t>
  </si>
  <si>
    <t>NQA (%)</t>
  </si>
  <si>
    <t>β = dangerosité client</t>
  </si>
  <si>
    <t>LTPD</t>
  </si>
  <si>
    <t>NQL (%)</t>
  </si>
  <si>
    <t>risque Cl</t>
  </si>
  <si>
    <t>NC Accepté</t>
  </si>
  <si>
    <t>↗ si risque α trop grand</t>
  </si>
  <si>
    <t>n/N (%)</t>
  </si>
  <si>
    <t>α = coût fournisseur</t>
  </si>
  <si>
    <t>loi de Probabilité</t>
  </si>
  <si>
    <t>Hypergéométrique</t>
  </si>
  <si>
    <t>Fournisseur</t>
  </si>
  <si>
    <t>rebus max toléré commun accord (NQA)</t>
  </si>
  <si>
    <r>
      <t>risque de rejeter un lot conforme (</t>
    </r>
    <r>
      <rPr>
        <sz val="11"/>
        <color theme="1"/>
        <rFont val="Calibri"/>
        <family val="2"/>
      </rPr>
      <t>α)</t>
    </r>
  </si>
  <si>
    <r>
      <t>probabilité d'accepter un lot conforme (1-</t>
    </r>
    <r>
      <rPr>
        <sz val="11"/>
        <color theme="1"/>
        <rFont val="Calibri"/>
        <family val="2"/>
      </rPr>
      <t>α)</t>
    </r>
  </si>
  <si>
    <t>choix pour graphique</t>
  </si>
  <si>
    <t>Client</t>
  </si>
  <si>
    <t>rebus maximum accepté par le client (NQL)</t>
  </si>
  <si>
    <r>
      <t>risque d'accepter un lot non conforme (</t>
    </r>
    <r>
      <rPr>
        <sz val="11"/>
        <color theme="1"/>
        <rFont val="Calibri"/>
        <family val="2"/>
      </rPr>
      <t>β)</t>
    </r>
  </si>
  <si>
    <t>Exemple: Si 0% de défecteux abscisse) alors 100% de chance d'accépter le lot (ordonnée)</t>
  </si>
  <si>
    <t xml:space="preserve">Inférence fréquentiste </t>
  </si>
  <si>
    <t>Inférence bayésienne</t>
  </si>
  <si>
    <t>Détermination de la taille de l'échantillon n et du critère d'acceptation Ac</t>
  </si>
  <si>
    <t>Confiance</t>
  </si>
  <si>
    <t>&lt; indiquez ici la confiance recherchée</t>
  </si>
  <si>
    <t>NQL</t>
  </si>
  <si>
    <t>Fiabilité</t>
  </si>
  <si>
    <t>&lt; indiquez ici la fiabilité recherchée</t>
  </si>
  <si>
    <t>taille du lot N</t>
  </si>
  <si>
    <t>n</t>
  </si>
  <si>
    <t>&lt; observez n résultats, tous devant être conformes</t>
  </si>
  <si>
    <t>α</t>
  </si>
  <si>
    <t>Ac</t>
  </si>
  <si>
    <t>β</t>
  </si>
  <si>
    <t>z 1 - α</t>
  </si>
  <si>
    <t>z 1 - β</t>
  </si>
  <si>
    <t>n0</t>
  </si>
  <si>
    <t>taille échantillon n</t>
  </si>
  <si>
    <t>Ac (&lt; ou 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</si>
</sst>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%"/>
    <numFmt numFmtId="168" formatCode="0.000%"/>
    <numFmt numFmtId="169" formatCode="0.000000"/>
  </numFmts>
  <fonts count="1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9.35"/>
      <color theme="1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0" xfId="0" applyFont="1" applyFill="1"/>
    <xf numFmtId="0" fontId="1" fillId="5" borderId="0" xfId="0" applyFont="1" applyFill="1"/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8" borderId="11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65" fontId="1" fillId="9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6" fontId="1" fillId="9" borderId="9" xfId="0" applyNumberFormat="1" applyFont="1" applyFill="1" applyBorder="1" applyAlignment="1">
      <alignment horizontal="center" vertical="center"/>
    </xf>
    <xf numFmtId="0" fontId="1" fillId="4" borderId="9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167" fontId="4" fillId="10" borderId="9" xfId="0" applyNumberFormat="1" applyFont="1" applyFill="1" applyBorder="1" applyAlignment="1">
      <alignment horizontal="center" vertical="center"/>
    </xf>
    <xf numFmtId="167" fontId="4" fillId="10" borderId="10" xfId="0" applyNumberFormat="1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left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168" fontId="4" fillId="12" borderId="17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68" fontId="4" fillId="12" borderId="12" xfId="0" applyNumberFormat="1" applyFont="1" applyFill="1" applyBorder="1" applyAlignment="1">
      <alignment horizontal="center" vertical="center"/>
    </xf>
    <xf numFmtId="168" fontId="4" fillId="12" borderId="9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/>
    </xf>
    <xf numFmtId="0" fontId="7" fillId="11" borderId="20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Fill="1"/>
    <xf numFmtId="10" fontId="8" fillId="0" borderId="7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textRotation="90"/>
    </xf>
    <xf numFmtId="0" fontId="2" fillId="0" borderId="0" xfId="0" applyFont="1" applyFill="1" applyBorder="1" applyAlignment="1">
      <alignment horizontal="center" vertical="center" textRotation="90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165" fontId="1" fillId="3" borderId="11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0" fontId="1" fillId="5" borderId="9" xfId="0" applyNumberFormat="1" applyFont="1" applyFill="1" applyBorder="1" applyAlignment="1">
      <alignment horizontal="center" vertical="center"/>
    </xf>
    <xf numFmtId="10" fontId="1" fillId="5" borderId="9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/>
    </xf>
    <xf numFmtId="0" fontId="1" fillId="7" borderId="9" xfId="0" applyFont="1" applyFill="1" applyBorder="1"/>
    <xf numFmtId="0" fontId="1" fillId="0" borderId="9" xfId="0" applyFont="1" applyFill="1" applyBorder="1"/>
    <xf numFmtId="0" fontId="1" fillId="0" borderId="9" xfId="0" applyFont="1" applyBorder="1"/>
    <xf numFmtId="0" fontId="1" fillId="0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168" fontId="4" fillId="12" borderId="10" xfId="0" applyNumberFormat="1" applyFont="1" applyFill="1" applyBorder="1" applyAlignment="1">
      <alignment horizontal="center" vertical="center"/>
    </xf>
    <xf numFmtId="0" fontId="2" fillId="14" borderId="9" xfId="0" applyFont="1" applyFill="1" applyBorder="1" applyAlignment="1"/>
    <xf numFmtId="0" fontId="2" fillId="14" borderId="24" xfId="0" applyFont="1" applyFill="1" applyBorder="1" applyAlignment="1"/>
    <xf numFmtId="0" fontId="6" fillId="3" borderId="0" xfId="0" applyFont="1" applyFill="1"/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 vertical="center" textRotation="90"/>
    </xf>
    <xf numFmtId="0" fontId="3" fillId="7" borderId="12" xfId="0" applyFont="1" applyFill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1" fillId="3" borderId="9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center" vertical="center"/>
    </xf>
    <xf numFmtId="0" fontId="1" fillId="4" borderId="11" xfId="0" applyNumberFormat="1" applyFont="1" applyFill="1" applyBorder="1" applyAlignment="1">
      <alignment horizontal="center" vertical="center"/>
    </xf>
    <xf numFmtId="0" fontId="1" fillId="4" borderId="14" xfId="0" applyNumberFormat="1" applyFont="1" applyFill="1" applyBorder="1" applyAlignment="1">
      <alignment horizontal="center" vertical="center"/>
    </xf>
    <xf numFmtId="1" fontId="1" fillId="4" borderId="9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167" fontId="4" fillId="10" borderId="11" xfId="0" applyNumberFormat="1" applyFont="1" applyFill="1" applyBorder="1" applyAlignment="1">
      <alignment horizontal="center" vertical="center"/>
    </xf>
    <xf numFmtId="167" fontId="4" fillId="10" borderId="14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/>
    </xf>
    <xf numFmtId="167" fontId="4" fillId="10" borderId="15" xfId="0" applyNumberFormat="1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 textRotation="90"/>
    </xf>
    <xf numFmtId="0" fontId="2" fillId="11" borderId="12" xfId="0" applyFont="1" applyFill="1" applyBorder="1" applyAlignment="1">
      <alignment horizontal="center" vertical="center" textRotation="90"/>
    </xf>
    <xf numFmtId="0" fontId="1" fillId="9" borderId="9" xfId="0" applyFont="1" applyFill="1" applyBorder="1" applyAlignment="1">
      <alignment horizontal="center" vertical="center"/>
    </xf>
    <xf numFmtId="166" fontId="1" fillId="9" borderId="9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169" fontId="1" fillId="5" borderId="9" xfId="0" applyNumberFormat="1" applyFont="1" applyFill="1" applyBorder="1" applyAlignment="1">
      <alignment horizontal="center" vertical="center"/>
    </xf>
    <xf numFmtId="10" fontId="1" fillId="5" borderId="9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167" fontId="0" fillId="6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12" fillId="9" borderId="9" xfId="0" applyFont="1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6" xfId="0" applyBorder="1" applyAlignment="1">
      <alignment horizontal="center"/>
    </xf>
    <xf numFmtId="3" fontId="0" fillId="9" borderId="27" xfId="0" applyNumberForma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0" fontId="10" fillId="0" borderId="0" xfId="0" applyNumberFormat="1" applyFont="1"/>
    <xf numFmtId="2" fontId="0" fillId="0" borderId="0" xfId="0" applyNumberFormat="1"/>
    <xf numFmtId="0" fontId="0" fillId="0" borderId="28" xfId="0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11" fillId="0" borderId="0" xfId="0" applyFont="1"/>
    <xf numFmtId="0" fontId="10" fillId="0" borderId="0" xfId="0" applyFont="1" applyAlignment="1">
      <alignment vertical="center"/>
    </xf>
    <xf numFmtId="9" fontId="10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0" fillId="8" borderId="24" xfId="0" applyNumberFormat="1" applyFill="1" applyBorder="1" applyAlignment="1">
      <alignment horizontal="center"/>
    </xf>
    <xf numFmtId="167" fontId="10" fillId="0" borderId="0" xfId="0" applyNumberFormat="1" applyFont="1" applyAlignment="1">
      <alignment horizontal="center"/>
    </xf>
    <xf numFmtId="9" fontId="10" fillId="5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3" fillId="0" borderId="0" xfId="0" applyFont="1"/>
    <xf numFmtId="9" fontId="0" fillId="0" borderId="24" xfId="0" applyNumberFormat="1" applyBorder="1" applyAlignment="1">
      <alignment horizontal="center"/>
    </xf>
    <xf numFmtId="0" fontId="10" fillId="5" borderId="0" xfId="0" applyFont="1" applyFill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9" fillId="0" borderId="1" xfId="0" applyFont="1" applyBorder="1"/>
    <xf numFmtId="0" fontId="0" fillId="0" borderId="2" xfId="0" applyBorder="1"/>
    <xf numFmtId="0" fontId="0" fillId="0" borderId="3" xfId="0" applyBorder="1"/>
    <xf numFmtId="0" fontId="0" fillId="4" borderId="4" xfId="0" applyFill="1" applyBorder="1"/>
    <xf numFmtId="0" fontId="0" fillId="0" borderId="5" xfId="0" applyBorder="1"/>
    <xf numFmtId="0" fontId="0" fillId="4" borderId="0" xfId="0" applyFill="1"/>
    <xf numFmtId="167" fontId="0" fillId="6" borderId="5" xfId="0" applyNumberFormat="1" applyFill="1" applyBorder="1" applyAlignment="1">
      <alignment horizontal="center"/>
    </xf>
    <xf numFmtId="9" fontId="0" fillId="6" borderId="5" xfId="0" applyNumberFormat="1" applyFill="1" applyBorder="1" applyAlignment="1">
      <alignment horizontal="center"/>
    </xf>
    <xf numFmtId="0" fontId="0" fillId="15" borderId="4" xfId="0" applyFill="1" applyBorder="1"/>
    <xf numFmtId="167" fontId="10" fillId="5" borderId="0" xfId="0" applyNumberFormat="1" applyFont="1" applyFill="1" applyAlignment="1">
      <alignment horizontal="center"/>
    </xf>
    <xf numFmtId="0" fontId="0" fillId="15" borderId="0" xfId="0" applyFill="1"/>
    <xf numFmtId="9" fontId="0" fillId="15" borderId="5" xfId="0" applyNumberFormat="1" applyFill="1" applyBorder="1" applyAlignment="1">
      <alignment horizontal="center"/>
    </xf>
    <xf numFmtId="0" fontId="0" fillId="15" borderId="6" xfId="0" applyFill="1" applyBorder="1"/>
    <xf numFmtId="0" fontId="14" fillId="0" borderId="0" xfId="0" applyFont="1"/>
    <xf numFmtId="2" fontId="10" fillId="0" borderId="0" xfId="0" applyNumberFormat="1" applyFont="1"/>
    <xf numFmtId="0" fontId="0" fillId="15" borderId="7" xfId="0" applyFill="1" applyBorder="1"/>
    <xf numFmtId="9" fontId="0" fillId="15" borderId="8" xfId="0" applyNumberFormat="1" applyFill="1" applyBorder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/>
    </xf>
    <xf numFmtId="1" fontId="14" fillId="0" borderId="0" xfId="0" applyNumberFormat="1" applyFont="1" applyAlignment="1">
      <alignment horizontal="center"/>
    </xf>
    <xf numFmtId="10" fontId="14" fillId="0" borderId="0" xfId="0" applyNumberFormat="1" applyFont="1"/>
    <xf numFmtId="164" fontId="14" fillId="0" borderId="0" xfId="0" applyNumberFormat="1" applyFon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9" fillId="16" borderId="0" xfId="0" applyFont="1" applyFill="1"/>
    <xf numFmtId="0" fontId="9" fillId="7" borderId="0" xfId="0" applyFont="1" applyFill="1"/>
    <xf numFmtId="0" fontId="0" fillId="7" borderId="0" xfId="0" applyFill="1"/>
    <xf numFmtId="0" fontId="9" fillId="0" borderId="0" xfId="0" applyFont="1"/>
    <xf numFmtId="0" fontId="11" fillId="0" borderId="9" xfId="0" applyFont="1" applyBorder="1" applyAlignment="1">
      <alignment horizontal="center"/>
    </xf>
    <xf numFmtId="167" fontId="0" fillId="17" borderId="9" xfId="0" applyNumberFormat="1" applyFill="1" applyBorder="1" applyAlignment="1">
      <alignment horizontal="center"/>
    </xf>
    <xf numFmtId="0" fontId="0" fillId="0" borderId="9" xfId="0" applyBorder="1" applyAlignment="1">
      <alignment vertical="center"/>
    </xf>
    <xf numFmtId="9" fontId="0" fillId="3" borderId="9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9" fillId="0" borderId="9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Courbe d'éfficacité client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69092616490856"/>
          <c:y val="0.11513373328333965"/>
          <c:w val="0.82325224751985748"/>
          <c:h val="0.79023433651589592"/>
        </c:manualLayout>
      </c:layout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'courbe d''efficacité'!#REF!</c:f>
            </c:numRef>
          </c:xVal>
          <c:yVal>
            <c:numRef>
              <c:f>'courbe d''efficacité'!#REF!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3-4F51-B008-ABC0CE2EAB10}"/>
            </c:ext>
          </c:extLst>
        </c:ser>
        <c:ser>
          <c:idx val="2"/>
          <c:order val="1"/>
          <c:tx>
            <c:v>rique alpha</c:v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'courbe d''efficacité'!$S$15:$S$16</c:f>
              <c:numCache>
                <c:formatCode>0.0%</c:formatCode>
                <c:ptCount val="2"/>
                <c:pt idx="0">
                  <c:v>0</c:v>
                </c:pt>
                <c:pt idx="1">
                  <c:v>0.01</c:v>
                </c:pt>
              </c:numCache>
            </c:numRef>
          </c:xVal>
          <c:yVal>
            <c:numRef>
              <c:f>'courbe d''efficacité'!$T$15:$T$16</c:f>
              <c:numCache>
                <c:formatCode>0.0%</c:formatCode>
                <c:ptCount val="2"/>
                <c:pt idx="0">
                  <c:v>0.95344681426406852</c:v>
                </c:pt>
                <c:pt idx="1">
                  <c:v>0.95344681426406852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3-4F51-B008-ABC0CE2EAB10}"/>
            </c:ext>
          </c:extLst>
        </c:ser>
        <c:ser>
          <c:idx val="3"/>
          <c:order val="2"/>
          <c:tx>
            <c:v>risque beta (client)</c:v>
          </c:tx>
          <c:spPr>
            <a:ln>
              <a:solidFill>
                <a:schemeClr val="accent6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73-4F51-B008-ABC0CE2EAB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73-4F51-B008-ABC0CE2EAB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'courbe d''efficacité'!$S$17:$S$18</c:f>
              <c:numCache>
                <c:formatCode>0.0%</c:formatCode>
                <c:ptCount val="2"/>
                <c:pt idx="0">
                  <c:v>0</c:v>
                </c:pt>
                <c:pt idx="1">
                  <c:v>0.1</c:v>
                </c:pt>
              </c:numCache>
            </c:numRef>
          </c:xVal>
          <c:yVal>
            <c:numRef>
              <c:f>'courbe d''efficacité'!$T$17:$T$18</c:f>
              <c:numCache>
                <c:formatCode>0.0%</c:formatCode>
                <c:ptCount val="2"/>
                <c:pt idx="0">
                  <c:v>1.0683672797443955E-2</c:v>
                </c:pt>
                <c:pt idx="1">
                  <c:v>1.0683672797443955E-2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73-4F51-B008-ABC0CE2EAB10}"/>
            </c:ext>
          </c:extLst>
        </c:ser>
        <c:ser>
          <c:idx val="4"/>
          <c:order val="3"/>
          <c:tx>
            <c:v>NQA</c:v>
          </c:tx>
          <c:spPr>
            <a:ln>
              <a:solidFill>
                <a:srgbClr val="00B0F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570138048849614E-2"/>
                  <c:y val="-4.8431154486455644E-2"/>
                </c:manualLayout>
              </c:layout>
              <c:tx>
                <c:rich>
                  <a:bodyPr/>
                  <a:lstStyle/>
                  <a:p>
                    <a:r>
                      <a:rPr lang="en-US" sz="1400" b="1"/>
                      <a:t>NQA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673-4F51-B008-ABC0CE2EAB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73-4F51-B008-ABC0CE2EAB10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'courbe d''efficacité'!$U$15:$U$16</c:f>
              <c:numCache>
                <c:formatCode>0.0%</c:formatCode>
                <c:ptCount val="2"/>
                <c:pt idx="0">
                  <c:v>0.01</c:v>
                </c:pt>
                <c:pt idx="1">
                  <c:v>0.01</c:v>
                </c:pt>
              </c:numCache>
            </c:numRef>
          </c:xVal>
          <c:yVal>
            <c:numRef>
              <c:f>'courbe d''efficacité'!$V$15:$V$16</c:f>
              <c:numCache>
                <c:formatCode>0.0%</c:formatCode>
                <c:ptCount val="2"/>
                <c:pt idx="0">
                  <c:v>0</c:v>
                </c:pt>
                <c:pt idx="1">
                  <c:v>0.95344681426406852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73-4F51-B008-ABC0CE2EAB10}"/>
            </c:ext>
          </c:extLst>
        </c:ser>
        <c:ser>
          <c:idx val="5"/>
          <c:order val="4"/>
          <c:tx>
            <c:v>NQL</c:v>
          </c:tx>
          <c:marker>
            <c:symbol val="none"/>
          </c:marker>
          <c:dLbls>
            <c:dLbl>
              <c:idx val="0"/>
              <c:layout>
                <c:manualLayout>
                  <c:x val="-8.8124071244303492E-2"/>
                  <c:y val="-4.1848872235933032E-2"/>
                </c:manualLayout>
              </c:layout>
              <c:tx>
                <c:rich>
                  <a:bodyPr/>
                  <a:lstStyle/>
                  <a:p>
                    <a:r>
                      <a:rPr lang="en-US" sz="1400" b="1"/>
                      <a:t>NQL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673-4F51-B008-ABC0CE2EAB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73-4F51-B008-ABC0CE2EAB1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'courbe d''efficacité'!$U$17:$U$18</c:f>
              <c:numCache>
                <c:formatCode>0.0%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'courbe d''efficacité'!$V$17:$V$18</c:f>
              <c:numCache>
                <c:formatCode>0.0%</c:formatCode>
                <c:ptCount val="2"/>
                <c:pt idx="0">
                  <c:v>0</c:v>
                </c:pt>
                <c:pt idx="1">
                  <c:v>1.0683672797443955E-2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73-4F51-B008-ABC0CE2EAB10}"/>
            </c:ext>
          </c:extLst>
        </c:ser>
        <c:ser>
          <c:idx val="6"/>
          <c:order val="5"/>
          <c:tx>
            <c:v>hypergéométrique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'courbe d''efficacité'!$M$4:$M$24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'courbe d''efficacité'!$P$4:$P$24</c:f>
              <c:numCache>
                <c:formatCode>0.0%</c:formatCode>
                <c:ptCount val="21"/>
                <c:pt idx="0">
                  <c:v>1</c:v>
                </c:pt>
                <c:pt idx="1">
                  <c:v>0.95344681426406852</c:v>
                </c:pt>
                <c:pt idx="2">
                  <c:v>0.78441888697535622</c:v>
                </c:pt>
                <c:pt idx="3">
                  <c:v>0.5681232516410879</c:v>
                </c:pt>
                <c:pt idx="4">
                  <c:v>0.37478789935680812</c:v>
                </c:pt>
                <c:pt idx="5">
                  <c:v>0.23062050491649233</c:v>
                </c:pt>
                <c:pt idx="6">
                  <c:v>0.13444574956595723</c:v>
                </c:pt>
                <c:pt idx="7">
                  <c:v>7.5033688207063229E-2</c:v>
                </c:pt>
                <c:pt idx="8">
                  <c:v>4.0377985328660632E-2</c:v>
                </c:pt>
                <c:pt idx="9">
                  <c:v>2.1058522275257827E-2</c:v>
                </c:pt>
                <c:pt idx="10">
                  <c:v>1.0683672797443955E-2</c:v>
                </c:pt>
                <c:pt idx="11">
                  <c:v>5.2871755358512322E-3</c:v>
                </c:pt>
                <c:pt idx="12">
                  <c:v>2.5576747034386804E-3</c:v>
                </c:pt>
                <c:pt idx="13">
                  <c:v>1.2113787103491698E-3</c:v>
                </c:pt>
                <c:pt idx="14">
                  <c:v>5.6242309226727525E-4</c:v>
                </c:pt>
                <c:pt idx="15">
                  <c:v>2.5621774695972675E-4</c:v>
                </c:pt>
                <c:pt idx="16">
                  <c:v>1.1461412467971902E-4</c:v>
                </c:pt>
                <c:pt idx="17">
                  <c:v>5.0372709366656024E-5</c:v>
                </c:pt>
                <c:pt idx="18">
                  <c:v>2.1760352900544018E-5</c:v>
                </c:pt>
                <c:pt idx="19">
                  <c:v>9.2424258180751014E-6</c:v>
                </c:pt>
                <c:pt idx="20">
                  <c:v>3.8605608365407744E-6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73-4F51-B008-ABC0CE2EA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05824"/>
        <c:axId val="106913792"/>
      </c:scatterChart>
      <c:valAx>
        <c:axId val="107005824"/>
        <c:scaling>
          <c:orientation val="minMax"/>
          <c:max val="0.2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défectueux % dans le lot</a:t>
                </a:r>
              </a:p>
            </c:rich>
          </c:tx>
          <c:layout>
            <c:manualLayout>
              <c:xMode val="edge"/>
              <c:yMode val="edge"/>
              <c:x val="0.39081774487807908"/>
              <c:y val="0.95448402283047962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crossAx val="106913792"/>
        <c:crosses val="autoZero"/>
        <c:crossBetween val="midCat"/>
      </c:valAx>
      <c:valAx>
        <c:axId val="106913792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proba d'accepter un lot  </a:t>
                </a:r>
              </a:p>
            </c:rich>
          </c:tx>
          <c:layout>
            <c:manualLayout>
              <c:xMode val="edge"/>
              <c:yMode val="edge"/>
              <c:x val="2.4198427102238344E-2"/>
              <c:y val="0.32876390451193599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crossAx val="107005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10</xdr:row>
      <xdr:rowOff>119062</xdr:rowOff>
    </xdr:from>
    <xdr:to>
      <xdr:col>14</xdr:col>
      <xdr:colOff>23812</xdr:colOff>
      <xdr:row>34</xdr:row>
      <xdr:rowOff>12129</xdr:rowOff>
    </xdr:to>
    <xdr:pic>
      <xdr:nvPicPr>
        <xdr:cNvPr id="11" name="Image 2">
          <a:extLst>
            <a:ext uri="{FF2B5EF4-FFF2-40B4-BE49-F238E27FC236}">
              <a16:creationId xmlns:a16="http://schemas.microsoft.com/office/drawing/2014/main" id="{06526B10-E56E-4C53-804D-91F4D671C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727" t="33228" r="18005" b="27115"/>
        <a:stretch/>
      </xdr:blipFill>
      <xdr:spPr>
        <a:xfrm>
          <a:off x="7143750" y="2595562"/>
          <a:ext cx="6691312" cy="6179567"/>
        </a:xfrm>
        <a:prstGeom prst="rect">
          <a:avLst/>
        </a:prstGeom>
      </xdr:spPr>
    </xdr:pic>
    <xdr:clientData/>
  </xdr:twoCellAnchor>
  <xdr:twoCellAnchor editAs="oneCell">
    <xdr:from>
      <xdr:col>1</xdr:col>
      <xdr:colOff>222553</xdr:colOff>
      <xdr:row>10</xdr:row>
      <xdr:rowOff>71437</xdr:rowOff>
    </xdr:from>
    <xdr:to>
      <xdr:col>8</xdr:col>
      <xdr:colOff>534685</xdr:colOff>
      <xdr:row>31</xdr:row>
      <xdr:rowOff>23811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28F5E849-CD31-49E2-80DA-C7C3ED475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9566" t="35952" r="15921" b="28859"/>
        <a:stretch/>
      </xdr:blipFill>
      <xdr:spPr>
        <a:xfrm>
          <a:off x="460678" y="2547937"/>
          <a:ext cx="6741507" cy="5453062"/>
        </a:xfrm>
        <a:prstGeom prst="rect">
          <a:avLst/>
        </a:prstGeom>
      </xdr:spPr>
    </xdr:pic>
    <xdr:clientData/>
  </xdr:twoCellAnchor>
  <xdr:twoCellAnchor>
    <xdr:from>
      <xdr:col>7</xdr:col>
      <xdr:colOff>77931</xdr:colOff>
      <xdr:row>12</xdr:row>
      <xdr:rowOff>119062</xdr:rowOff>
    </xdr:from>
    <xdr:to>
      <xdr:col>7</xdr:col>
      <xdr:colOff>943841</xdr:colOff>
      <xdr:row>30</xdr:row>
      <xdr:rowOff>12987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554806" y="3119437"/>
          <a:ext cx="865910" cy="46088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549853</xdr:colOff>
      <xdr:row>16</xdr:row>
      <xdr:rowOff>132053</xdr:rowOff>
    </xdr:from>
    <xdr:to>
      <xdr:col>8</xdr:col>
      <xdr:colOff>333375</xdr:colOff>
      <xdr:row>17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7978" y="4180178"/>
          <a:ext cx="6212897" cy="368009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630814</xdr:colOff>
      <xdr:row>17</xdr:row>
      <xdr:rowOff>245487</xdr:rowOff>
    </xdr:from>
    <xdr:to>
      <xdr:col>14</xdr:col>
      <xdr:colOff>32472</xdr:colOff>
      <xdr:row>19</xdr:row>
      <xdr:rowOff>52823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298314" y="4555550"/>
          <a:ext cx="6545408" cy="331211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60181</xdr:colOff>
      <xdr:row>13</xdr:row>
      <xdr:rowOff>134220</xdr:rowOff>
    </xdr:from>
    <xdr:to>
      <xdr:col>9</xdr:col>
      <xdr:colOff>1032596</xdr:colOff>
      <xdr:row>32</xdr:row>
      <xdr:rowOff>220810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918306" y="3396533"/>
          <a:ext cx="972415" cy="5063402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252556</xdr:colOff>
      <xdr:row>18</xdr:row>
      <xdr:rowOff>194829</xdr:rowOff>
    </xdr:from>
    <xdr:to>
      <xdr:col>14</xdr:col>
      <xdr:colOff>1274329</xdr:colOff>
      <xdr:row>23</xdr:row>
      <xdr:rowOff>90921</xdr:rowOff>
    </xdr:to>
    <xdr:sp macro="" textlink="">
      <xdr:nvSpPr>
        <xdr:cNvPr id="8" name="Flèche droit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6705406" y="4798579"/>
          <a:ext cx="1021773" cy="12295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121225</xdr:colOff>
      <xdr:row>38</xdr:row>
      <xdr:rowOff>122958</xdr:rowOff>
    </xdr:from>
    <xdr:to>
      <xdr:col>32</xdr:col>
      <xdr:colOff>1092200</xdr:colOff>
      <xdr:row>40</xdr:row>
      <xdr:rowOff>50800</xdr:rowOff>
    </xdr:to>
    <xdr:sp macro="" textlink="">
      <xdr:nvSpPr>
        <xdr:cNvPr id="9" name="Flèche droi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0800000">
          <a:off x="37713225" y="10511558"/>
          <a:ext cx="970975" cy="486642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14</xdr:row>
      <xdr:rowOff>57150</xdr:rowOff>
    </xdr:from>
    <xdr:to>
      <xdr:col>8</xdr:col>
      <xdr:colOff>201386</xdr:colOff>
      <xdr:row>25</xdr:row>
      <xdr:rowOff>119634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A008FAD-0D24-498B-8B5F-EA2E80A98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504" t="47721" r="12302" b="24369"/>
        <a:stretch/>
      </xdr:blipFill>
      <xdr:spPr>
        <a:xfrm>
          <a:off x="1533525" y="2724150"/>
          <a:ext cx="5344886" cy="2157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504264</xdr:colOff>
      <xdr:row>1</xdr:row>
      <xdr:rowOff>22412</xdr:rowOff>
    </xdr:from>
    <xdr:to>
      <xdr:col>10</xdr:col>
      <xdr:colOff>1064558</xdr:colOff>
      <xdr:row>24</xdr:row>
      <xdr:rowOff>179294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90D5A2-E5C9-4BA3-8919-10E3A517B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rgan%20gc\Desktop\EmVisage\Morgan\Statistique\Excel\Echantillonnage.xlsx" TargetMode="External"/><Relationship Id="rId1" Type="http://schemas.openxmlformats.org/officeDocument/2006/relationships/externalLinkPath" Target="/Users/morgan%20gc/Desktop/EmVisage/Morgan/Statistique/Excel/Echantillonn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 2859"/>
      <sheetName val="doc 3951"/>
      <sheetName val="contrôle combiné unilatéral"/>
      <sheetName val="contrôle combiné bilatéral"/>
      <sheetName val="Essai multivariable"/>
      <sheetName val="suivi"/>
      <sheetName val="courbe d'efficacité"/>
      <sheetName val="trouver n"/>
      <sheetName val="nomogramme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M4">
            <v>0</v>
          </cell>
          <cell r="P4">
            <v>1</v>
          </cell>
        </row>
        <row r="5">
          <cell r="M5">
            <v>0.01</v>
          </cell>
          <cell r="P5">
            <v>0.95344681426406852</v>
          </cell>
        </row>
        <row r="6">
          <cell r="M6">
            <v>0.02</v>
          </cell>
          <cell r="P6">
            <v>0.78441888697535622</v>
          </cell>
        </row>
        <row r="7">
          <cell r="M7">
            <v>0.03</v>
          </cell>
          <cell r="P7">
            <v>0.5681232516410879</v>
          </cell>
        </row>
        <row r="8">
          <cell r="M8">
            <v>0.04</v>
          </cell>
          <cell r="P8">
            <v>0.37478789935680812</v>
          </cell>
        </row>
        <row r="9">
          <cell r="M9">
            <v>0.05</v>
          </cell>
          <cell r="P9">
            <v>0.23062050491649233</v>
          </cell>
        </row>
        <row r="10">
          <cell r="M10">
            <v>0.06</v>
          </cell>
          <cell r="P10">
            <v>0.13444574956595723</v>
          </cell>
        </row>
        <row r="11">
          <cell r="M11">
            <v>7.0000000000000007E-2</v>
          </cell>
          <cell r="P11">
            <v>7.5033688207063229E-2</v>
          </cell>
        </row>
        <row r="12">
          <cell r="M12">
            <v>0.08</v>
          </cell>
          <cell r="P12">
            <v>4.0377985328660632E-2</v>
          </cell>
        </row>
        <row r="13">
          <cell r="M13">
            <v>0.09</v>
          </cell>
          <cell r="P13">
            <v>2.1058522275257827E-2</v>
          </cell>
        </row>
        <row r="14">
          <cell r="M14">
            <v>0.1</v>
          </cell>
          <cell r="P14">
            <v>1.0683672797443955E-2</v>
          </cell>
        </row>
        <row r="15">
          <cell r="M15">
            <v>0.11</v>
          </cell>
          <cell r="P15">
            <v>5.2871755358512322E-3</v>
          </cell>
          <cell r="S15">
            <v>0</v>
          </cell>
          <cell r="T15">
            <v>0.95344681426406852</v>
          </cell>
          <cell r="U15">
            <v>0.01</v>
          </cell>
          <cell r="V15">
            <v>0</v>
          </cell>
        </row>
        <row r="16">
          <cell r="M16">
            <v>0.12</v>
          </cell>
          <cell r="P16">
            <v>2.5576747034386804E-3</v>
          </cell>
          <cell r="S16">
            <v>0.01</v>
          </cell>
          <cell r="T16">
            <v>0.95344681426406852</v>
          </cell>
          <cell r="U16">
            <v>0.01</v>
          </cell>
          <cell r="V16">
            <v>0.95344681426406852</v>
          </cell>
        </row>
        <row r="17">
          <cell r="M17">
            <v>0.13</v>
          </cell>
          <cell r="P17">
            <v>1.2113787103491698E-3</v>
          </cell>
          <cell r="S17">
            <v>0</v>
          </cell>
          <cell r="T17">
            <v>1.0683672797443955E-2</v>
          </cell>
          <cell r="U17">
            <v>0.1</v>
          </cell>
          <cell r="V17">
            <v>0</v>
          </cell>
        </row>
        <row r="18">
          <cell r="M18">
            <v>0.14000000000000001</v>
          </cell>
          <cell r="P18">
            <v>5.6242309226727525E-4</v>
          </cell>
          <cell r="S18">
            <v>0.1</v>
          </cell>
          <cell r="T18">
            <v>1.0683672797443955E-2</v>
          </cell>
          <cell r="U18">
            <v>0.1</v>
          </cell>
          <cell r="V18">
            <v>1.0683672797443955E-2</v>
          </cell>
        </row>
        <row r="19">
          <cell r="M19">
            <v>0.15</v>
          </cell>
          <cell r="P19">
            <v>2.5621774695972675E-4</v>
          </cell>
        </row>
        <row r="20">
          <cell r="M20">
            <v>0.16</v>
          </cell>
          <cell r="P20">
            <v>1.1461412467971902E-4</v>
          </cell>
        </row>
        <row r="21">
          <cell r="M21">
            <v>0.17</v>
          </cell>
          <cell r="P21">
            <v>5.0372709366656024E-5</v>
          </cell>
        </row>
        <row r="22">
          <cell r="M22">
            <v>0.18</v>
          </cell>
          <cell r="P22">
            <v>2.1760352900544018E-5</v>
          </cell>
        </row>
        <row r="23">
          <cell r="M23">
            <v>0.19</v>
          </cell>
          <cell r="P23">
            <v>9.2424258180751014E-6</v>
          </cell>
        </row>
        <row r="24">
          <cell r="M24">
            <v>0.2</v>
          </cell>
          <cell r="P24">
            <v>3.8605608365407744E-6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51"/>
  <sheetViews>
    <sheetView showGridLines="0" zoomScale="40" zoomScaleNormal="40" workbookViewId="0">
      <selection activeCell="AH23" sqref="AH23"/>
    </sheetView>
  </sheetViews>
  <sheetFormatPr baseColWidth="10" defaultColWidth="9.140625" defaultRowHeight="15" x14ac:dyDescent="0.25"/>
  <cols>
    <col min="1" max="1" width="3.7109375" customWidth="1"/>
    <col min="2" max="2" width="9.28515625" bestFit="1" customWidth="1"/>
    <col min="3" max="3" width="9.28515625" customWidth="1"/>
    <col min="4" max="4" width="6.5703125" customWidth="1"/>
    <col min="5" max="19" width="18" customWidth="1"/>
    <col min="20" max="20" width="23" customWidth="1"/>
    <col min="21" max="21" width="28.42578125" bestFit="1" customWidth="1"/>
    <col min="22" max="25" width="18" customWidth="1"/>
    <col min="26" max="26" width="22.28515625" bestFit="1" customWidth="1"/>
    <col min="27" max="254" width="18" customWidth="1"/>
    <col min="255" max="261" width="5.5703125" bestFit="1" customWidth="1"/>
  </cols>
  <sheetData>
    <row r="1" spans="3:38" ht="21.75" thickBot="1" x14ac:dyDescent="0.4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3:38" ht="21" x14ac:dyDescent="0.35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4"/>
      <c r="AG2" s="1"/>
      <c r="AH2" s="1"/>
      <c r="AI2" s="1"/>
      <c r="AJ2" s="1"/>
      <c r="AK2" s="1"/>
      <c r="AL2" s="1"/>
    </row>
    <row r="3" spans="3:38" ht="21" x14ac:dyDescent="0.35">
      <c r="C3" s="5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1"/>
      <c r="AH3" s="1"/>
      <c r="AI3" s="1"/>
      <c r="AJ3" s="1"/>
      <c r="AK3" s="1"/>
      <c r="AL3" s="1"/>
    </row>
    <row r="4" spans="3:38" ht="21.75" thickBot="1" x14ac:dyDescent="0.4">
      <c r="C4" s="8" t="s">
        <v>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"/>
      <c r="AH4" s="1"/>
      <c r="AI4" s="1"/>
      <c r="AJ4" s="1"/>
      <c r="AK4" s="1"/>
      <c r="AL4" s="1"/>
    </row>
    <row r="5" spans="3:38" ht="21.75" thickBot="1" x14ac:dyDescent="0.4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3:38" ht="15" customHeight="1" x14ac:dyDescent="0.35">
      <c r="C6" s="70" t="s">
        <v>3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2"/>
      <c r="O6" s="1"/>
      <c r="P6" s="70" t="s">
        <v>4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G6" s="1"/>
      <c r="AH6" s="1"/>
      <c r="AI6" s="1"/>
      <c r="AJ6" s="1"/>
      <c r="AK6" s="1"/>
      <c r="AL6" s="1"/>
    </row>
    <row r="7" spans="3:38" ht="15.75" customHeight="1" thickBot="1" x14ac:dyDescent="0.4"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5"/>
      <c r="O7" s="1"/>
      <c r="P7" s="73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5"/>
      <c r="AG7" s="1"/>
      <c r="AH7" s="1"/>
      <c r="AI7" s="1"/>
      <c r="AJ7" s="1"/>
      <c r="AK7" s="1"/>
      <c r="AL7" s="1"/>
    </row>
    <row r="8" spans="3:38" ht="15.75" customHeight="1" x14ac:dyDescent="0.3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3:38" ht="21" x14ac:dyDescent="0.35">
      <c r="C9" s="76"/>
      <c r="D9" s="76"/>
      <c r="E9" s="76"/>
      <c r="F9" s="76"/>
      <c r="G9" s="11"/>
      <c r="H9" s="11"/>
      <c r="I9" s="11"/>
      <c r="J9" s="11"/>
      <c r="K9" s="11"/>
      <c r="L9" s="11"/>
      <c r="M9" s="11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3:38" ht="21" x14ac:dyDescent="0.35">
      <c r="C10" s="76"/>
      <c r="D10" s="76"/>
      <c r="E10" s="76"/>
      <c r="F10" s="76"/>
      <c r="G10" s="11"/>
      <c r="H10" s="11"/>
      <c r="I10" s="11"/>
      <c r="J10" s="11"/>
      <c r="K10" s="11"/>
      <c r="L10" s="11"/>
      <c r="M10" s="11"/>
      <c r="N10" s="11"/>
      <c r="O10" s="1"/>
      <c r="P10" s="1"/>
      <c r="Q10" s="77" t="s">
        <v>5</v>
      </c>
      <c r="R10" s="77"/>
      <c r="S10" s="77"/>
      <c r="T10" s="77" t="s">
        <v>6</v>
      </c>
      <c r="U10" s="77"/>
      <c r="V10" s="77" t="s">
        <v>7</v>
      </c>
      <c r="W10" s="77"/>
      <c r="X10" s="77" t="s">
        <v>8</v>
      </c>
      <c r="Y10" s="77"/>
      <c r="Z10" s="77"/>
      <c r="AA10" s="78" t="s">
        <v>9</v>
      </c>
      <c r="AB10" s="78"/>
      <c r="AC10" s="78"/>
      <c r="AD10" s="1"/>
      <c r="AE10" s="1"/>
      <c r="AF10" s="1"/>
      <c r="AG10" s="1"/>
      <c r="AH10" s="1"/>
      <c r="AI10" s="1"/>
      <c r="AJ10" s="1"/>
      <c r="AK10" s="1"/>
      <c r="AL10" s="1"/>
    </row>
    <row r="11" spans="3:38" ht="21" x14ac:dyDescent="0.35">
      <c r="C11" s="1"/>
      <c r="D11" s="1"/>
      <c r="E11" s="1"/>
      <c r="F11" s="1"/>
      <c r="G11" s="1"/>
      <c r="H11" s="1"/>
      <c r="I11" s="1"/>
      <c r="J11" s="1"/>
      <c r="K11" s="12"/>
      <c r="L11" s="1"/>
      <c r="M11" s="1"/>
      <c r="N11" s="1"/>
      <c r="O11" s="1"/>
      <c r="P11" s="1"/>
      <c r="Q11" s="13" t="s">
        <v>10</v>
      </c>
      <c r="R11" s="80" t="s">
        <v>11</v>
      </c>
      <c r="S11" s="80"/>
      <c r="T11" s="13" t="s">
        <v>6</v>
      </c>
      <c r="U11" s="14" t="s">
        <v>12</v>
      </c>
      <c r="V11" s="15" t="s">
        <v>9</v>
      </c>
      <c r="W11" s="15" t="s">
        <v>13</v>
      </c>
      <c r="X11" s="81" t="s">
        <v>14</v>
      </c>
      <c r="Y11" s="15" t="s">
        <v>15</v>
      </c>
      <c r="Z11" s="15" t="s">
        <v>16</v>
      </c>
      <c r="AA11" s="16">
        <v>10</v>
      </c>
      <c r="AB11" s="17">
        <v>2.5</v>
      </c>
      <c r="AC11" s="16">
        <v>0.1</v>
      </c>
      <c r="AD11" s="79" t="s">
        <v>17</v>
      </c>
      <c r="AE11" s="79"/>
      <c r="AF11" s="79"/>
      <c r="AG11" s="1"/>
      <c r="AH11" s="1"/>
      <c r="AI11" s="1"/>
      <c r="AJ11" s="1"/>
      <c r="AK11" s="1"/>
      <c r="AL11" s="1"/>
    </row>
    <row r="12" spans="3:38" ht="21" customHeight="1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83" t="s">
        <v>18</v>
      </c>
      <c r="Q12" s="86" t="s">
        <v>19</v>
      </c>
      <c r="R12" s="18" t="s">
        <v>20</v>
      </c>
      <c r="S12" s="19">
        <v>32.26</v>
      </c>
      <c r="T12" s="86" t="s">
        <v>21</v>
      </c>
      <c r="U12" s="87">
        <v>1.4999999999999999E-4</v>
      </c>
      <c r="V12" s="88">
        <v>10</v>
      </c>
      <c r="W12" s="90">
        <v>6</v>
      </c>
      <c r="X12" s="82"/>
      <c r="Y12" s="91">
        <f ca="1">IF(ISNUMBER(E50),AVERAGE(E50:J50),"")</f>
        <v>32.258396429224959</v>
      </c>
      <c r="Z12" s="91">
        <f ca="1">IF(ISNUMBER(E50),STDEV(E50:J50),"")</f>
        <v>1.311817968142742E-3</v>
      </c>
      <c r="AA12" s="92">
        <f ca="1">IF(ISNUMBER(Z12),IF($V12=AA$11,1-O76,""),"")</f>
        <v>0.89375829182849664</v>
      </c>
      <c r="AB12" s="92" t="str">
        <f ca="1">IF(ISNUMBER(Z12),IF($V12=AB$11,1-O76,""),"")</f>
        <v/>
      </c>
      <c r="AC12" s="94" t="str">
        <f ca="1">IF(ISNUMBER(Z12),IF($V12=AC$11,1-O76,""),"")</f>
        <v/>
      </c>
      <c r="AD12" s="96" t="s">
        <v>22</v>
      </c>
      <c r="AE12" s="1"/>
      <c r="AF12" s="1"/>
      <c r="AG12" s="1"/>
      <c r="AH12" s="1"/>
      <c r="AI12" s="1"/>
      <c r="AJ12" s="1"/>
      <c r="AK12" s="1"/>
      <c r="AL12" s="1"/>
    </row>
    <row r="13" spans="3:38" ht="21" x14ac:dyDescent="0.3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84"/>
      <c r="Q13" s="86"/>
      <c r="R13" s="18" t="s">
        <v>23</v>
      </c>
      <c r="S13" s="19">
        <v>32.18</v>
      </c>
      <c r="T13" s="86"/>
      <c r="U13" s="87"/>
      <c r="V13" s="89"/>
      <c r="W13" s="90"/>
      <c r="X13" s="82"/>
      <c r="Y13" s="91"/>
      <c r="Z13" s="91"/>
      <c r="AA13" s="93"/>
      <c r="AB13" s="93"/>
      <c r="AC13" s="95"/>
      <c r="AD13" s="97"/>
      <c r="AE13" s="1"/>
      <c r="AF13" s="1"/>
      <c r="AG13" s="1"/>
      <c r="AH13" s="1"/>
      <c r="AI13" s="1"/>
      <c r="AJ13" s="1"/>
      <c r="AK13" s="1"/>
      <c r="AL13" s="1"/>
    </row>
    <row r="14" spans="3:38" ht="21" x14ac:dyDescent="0.3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84"/>
      <c r="Q14" s="86" t="s">
        <v>24</v>
      </c>
      <c r="R14" s="18" t="s">
        <v>20</v>
      </c>
      <c r="S14" s="20">
        <v>31</v>
      </c>
      <c r="T14" s="98" t="s">
        <v>25</v>
      </c>
      <c r="U14" s="99">
        <v>3.0000000000000001E-3</v>
      </c>
      <c r="V14" s="88">
        <v>2.5</v>
      </c>
      <c r="W14" s="90"/>
      <c r="X14" s="82"/>
      <c r="Y14" s="91">
        <f ca="1">IF(ISNUMBER(E51),AVERAGE(E51:J51),"")</f>
        <v>30.978338151361424</v>
      </c>
      <c r="Z14" s="91">
        <f ca="1">IF(ISNUMBER(E51),STDEV(E51:J51),"")</f>
        <v>2.4937543933307802E-3</v>
      </c>
      <c r="AA14" s="92" t="str">
        <f ca="1">IF(ISNUMBER(Z14),IF($V14=AA$11,1-O78,""),"")</f>
        <v/>
      </c>
      <c r="AB14" s="92">
        <f ca="1">IF(ISNUMBER(Z14),IF($V14=AB$11,1-O78,""),"")</f>
        <v>0.99992719934560226</v>
      </c>
      <c r="AC14" s="94" t="str">
        <f ca="1">IF(ISNUMBER(Z14),IF($V14=AC$11,1-O78,""),"")</f>
        <v/>
      </c>
      <c r="AD14" s="97"/>
      <c r="AE14" s="1"/>
      <c r="AF14" s="1"/>
      <c r="AG14" s="1"/>
      <c r="AH14" s="1"/>
      <c r="AI14" s="1"/>
      <c r="AJ14" s="1"/>
      <c r="AK14" s="1"/>
      <c r="AL14" s="1"/>
    </row>
    <row r="15" spans="3:38" ht="21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4"/>
      <c r="Q15" s="86"/>
      <c r="R15" s="18" t="s">
        <v>23</v>
      </c>
      <c r="S15" s="20">
        <v>30.95</v>
      </c>
      <c r="T15" s="98"/>
      <c r="U15" s="99"/>
      <c r="V15" s="89"/>
      <c r="W15" s="90"/>
      <c r="X15" s="82"/>
      <c r="Y15" s="91"/>
      <c r="Z15" s="91"/>
      <c r="AA15" s="93"/>
      <c r="AB15" s="93"/>
      <c r="AC15" s="95"/>
      <c r="AD15" s="97"/>
      <c r="AE15" s="1"/>
      <c r="AF15" s="1"/>
      <c r="AG15" s="1"/>
      <c r="AH15" s="1"/>
      <c r="AI15" s="1"/>
      <c r="AJ15" s="1"/>
      <c r="AK15" s="1"/>
      <c r="AL15" s="1"/>
    </row>
    <row r="16" spans="3:38" ht="21" x14ac:dyDescent="0.3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84"/>
      <c r="Q16" s="86" t="s">
        <v>26</v>
      </c>
      <c r="R16" s="18" t="s">
        <v>20</v>
      </c>
      <c r="S16" s="19">
        <v>34.799999999999997</v>
      </c>
      <c r="T16" s="86" t="s">
        <v>21</v>
      </c>
      <c r="U16" s="87">
        <v>1.5E-3</v>
      </c>
      <c r="V16" s="88">
        <v>0.1</v>
      </c>
      <c r="W16" s="90"/>
      <c r="X16" s="82"/>
      <c r="Y16" s="91">
        <f ca="1">IF(ISNUMBER(E52),AVERAGE(E52:J52),"")</f>
        <v>34.700580349429416</v>
      </c>
      <c r="Z16" s="91">
        <f ca="1">IF(ISNUMBER(E52),STDEV(E52:J52),"")</f>
        <v>4.8516673820739762E-3</v>
      </c>
      <c r="AA16" s="92" t="str">
        <f ca="1">IF(ISNUMBER(Z16),IF($V16=AA$11,1-O80,""),"")</f>
        <v/>
      </c>
      <c r="AB16" s="92" t="str">
        <f ca="1">IF(ISNUMBER(Z16),IF($V16=AB$11,1-O80,""),"")</f>
        <v/>
      </c>
      <c r="AC16" s="94">
        <f ca="1">IF(ISNUMBER(Z16),IF($V16=AC$11,1-O80,""),"")</f>
        <v>0.99992719934560226</v>
      </c>
      <c r="AD16" s="97"/>
      <c r="AE16" s="1"/>
      <c r="AF16" s="1"/>
      <c r="AG16" s="1"/>
      <c r="AH16" s="1"/>
      <c r="AI16" s="1"/>
      <c r="AJ16" s="1"/>
      <c r="AK16" s="1"/>
      <c r="AL16" s="1"/>
    </row>
    <row r="17" spans="1:261" ht="21" x14ac:dyDescent="0.35">
      <c r="P17" s="84"/>
      <c r="Q17" s="86"/>
      <c r="R17" s="18" t="s">
        <v>23</v>
      </c>
      <c r="S17" s="19">
        <v>34.6</v>
      </c>
      <c r="T17" s="86"/>
      <c r="U17" s="87"/>
      <c r="V17" s="89"/>
      <c r="W17" s="90"/>
      <c r="X17" s="82"/>
      <c r="Y17" s="91"/>
      <c r="Z17" s="91"/>
      <c r="AA17" s="93"/>
      <c r="AB17" s="93"/>
      <c r="AC17" s="95"/>
      <c r="AD17" s="97"/>
      <c r="AG17" s="1"/>
      <c r="AH17" s="1"/>
      <c r="AI17" s="1"/>
      <c r="AJ17" s="1"/>
      <c r="AK17" s="1"/>
      <c r="AL17" s="1"/>
    </row>
    <row r="18" spans="1:261" ht="21" x14ac:dyDescent="0.35">
      <c r="P18" s="84"/>
      <c r="Q18" s="86" t="s">
        <v>29</v>
      </c>
      <c r="R18" s="18" t="s">
        <v>20</v>
      </c>
      <c r="S18" s="20"/>
      <c r="T18" s="98" t="s">
        <v>21</v>
      </c>
      <c r="U18" s="99">
        <v>3.0000000000000001E-3</v>
      </c>
      <c r="V18" s="88" t="s">
        <v>27</v>
      </c>
      <c r="W18" s="90"/>
      <c r="X18" s="82"/>
      <c r="Y18" s="100" t="str">
        <f>IF(ISNUMBER(E53),AVERAGE(E53:J53),"")</f>
        <v/>
      </c>
      <c r="Z18" s="91" t="str">
        <f>IF(ISNUMBER(E53),STDEV(E53:J53),"")</f>
        <v/>
      </c>
      <c r="AA18" s="92" t="str">
        <f>IF(ISNUMBER(Z18),IF($V18=AA$11,1-O82,""),"")</f>
        <v/>
      </c>
      <c r="AB18" s="92" t="str">
        <f>IF(ISNUMBER(Z18),IF($V18=AB$11,1-O82,""),"")</f>
        <v/>
      </c>
      <c r="AC18" s="94" t="str">
        <f>IF(ISNUMBER(Z18),IF($V18=AC$11,1-O82,""),"")</f>
        <v/>
      </c>
      <c r="AD18" s="97"/>
      <c r="AG18" s="1"/>
      <c r="AH18" s="1"/>
      <c r="AI18" s="1"/>
      <c r="AJ18" s="1"/>
      <c r="AK18" s="1"/>
      <c r="AL18" s="1"/>
    </row>
    <row r="19" spans="1:261" ht="21" x14ac:dyDescent="0.25">
      <c r="P19" s="84"/>
      <c r="Q19" s="86"/>
      <c r="R19" s="18" t="s">
        <v>23</v>
      </c>
      <c r="S19" s="20"/>
      <c r="T19" s="98"/>
      <c r="U19" s="99"/>
      <c r="V19" s="89"/>
      <c r="W19" s="90"/>
      <c r="X19" s="82"/>
      <c r="Y19" s="100"/>
      <c r="Z19" s="91"/>
      <c r="AA19" s="93"/>
      <c r="AB19" s="93"/>
      <c r="AC19" s="95"/>
      <c r="AD19" s="97"/>
    </row>
    <row r="20" spans="1:261" ht="21" x14ac:dyDescent="0.25">
      <c r="P20" s="84"/>
      <c r="Q20" s="86" t="s">
        <v>30</v>
      </c>
      <c r="R20" s="18" t="s">
        <v>20</v>
      </c>
      <c r="S20" s="19"/>
      <c r="T20" s="86" t="s">
        <v>21</v>
      </c>
      <c r="U20" s="87">
        <v>3.5000000000000001E-3</v>
      </c>
      <c r="V20" s="88" t="s">
        <v>27</v>
      </c>
      <c r="W20" s="90"/>
      <c r="X20" s="82"/>
      <c r="Y20" s="100" t="str">
        <f>IF(ISNUMBER(E54),AVERAGE(E54:J54),"")</f>
        <v/>
      </c>
      <c r="Z20" s="91" t="str">
        <f>IF(ISNUMBER(E54),STDEV(E54:J54),"")</f>
        <v/>
      </c>
      <c r="AA20" s="92" t="str">
        <f>IF(ISNUMBER(Z20),IF($V20=AA$11,1-O84,""),"")</f>
        <v/>
      </c>
      <c r="AB20" s="92" t="str">
        <f>IF(ISNUMBER(Z20),IF($V20=AB$11,1-O84,""),"")</f>
        <v/>
      </c>
      <c r="AC20" s="94" t="str">
        <f>IF(ISNUMBER(Z20),IF($V20=AC$11,1-O84,""),"")</f>
        <v/>
      </c>
      <c r="AD20" s="97"/>
    </row>
    <row r="21" spans="1:261" ht="21" x14ac:dyDescent="0.25">
      <c r="P21" s="84"/>
      <c r="Q21" s="86"/>
      <c r="R21" s="18" t="s">
        <v>23</v>
      </c>
      <c r="S21" s="19"/>
      <c r="T21" s="86"/>
      <c r="U21" s="87"/>
      <c r="V21" s="89"/>
      <c r="W21" s="90"/>
      <c r="X21" s="82"/>
      <c r="Y21" s="100"/>
      <c r="Z21" s="91"/>
      <c r="AA21" s="93"/>
      <c r="AB21" s="93"/>
      <c r="AC21" s="95"/>
      <c r="AD21" s="97"/>
    </row>
    <row r="22" spans="1:261" ht="21" x14ac:dyDescent="0.25">
      <c r="P22" s="84"/>
      <c r="Q22" s="86" t="s">
        <v>32</v>
      </c>
      <c r="R22" s="18" t="s">
        <v>20</v>
      </c>
      <c r="S22" s="20"/>
      <c r="T22" s="98" t="s">
        <v>21</v>
      </c>
      <c r="U22" s="99">
        <v>3.0000000000000001E-3</v>
      </c>
      <c r="V22" s="88" t="s">
        <v>27</v>
      </c>
      <c r="W22" s="90"/>
      <c r="X22" s="82"/>
      <c r="Y22" s="100" t="str">
        <f>IF(ISNUMBER(E55),AVERAGE(E55:J55),"")</f>
        <v/>
      </c>
      <c r="Z22" s="91" t="str">
        <f>IF(ISNUMBER(E55),STDEV(E55:J55),"")</f>
        <v/>
      </c>
      <c r="AA22" s="92" t="str">
        <f>IF(ISNUMBER(Z22),IF($V22=AA$11,1-O86,""),"")</f>
        <v/>
      </c>
      <c r="AB22" s="92" t="str">
        <f>IF(ISNUMBER(Z22),IF($V22=AB$11,1-O86,""),"")</f>
        <v/>
      </c>
      <c r="AC22" s="94" t="str">
        <f>IF(ISNUMBER(Z22),IF($V22=AC$11,1-O86,""),"")</f>
        <v/>
      </c>
      <c r="AD22" s="97"/>
    </row>
    <row r="23" spans="1:261" ht="21" x14ac:dyDescent="0.25">
      <c r="P23" s="84"/>
      <c r="Q23" s="86"/>
      <c r="R23" s="18" t="s">
        <v>23</v>
      </c>
      <c r="S23" s="20"/>
      <c r="T23" s="98"/>
      <c r="U23" s="99"/>
      <c r="V23" s="89"/>
      <c r="W23" s="90"/>
      <c r="X23" s="82"/>
      <c r="Y23" s="100"/>
      <c r="Z23" s="91"/>
      <c r="AA23" s="93"/>
      <c r="AB23" s="93"/>
      <c r="AC23" s="95"/>
      <c r="AD23" s="97"/>
    </row>
    <row r="24" spans="1:261" ht="21" x14ac:dyDescent="0.25">
      <c r="P24" s="84"/>
      <c r="Q24" s="86" t="s">
        <v>62</v>
      </c>
      <c r="R24" s="18" t="s">
        <v>20</v>
      </c>
      <c r="S24" s="19"/>
      <c r="T24" s="86" t="s">
        <v>21</v>
      </c>
      <c r="U24" s="87">
        <v>1.5E-3</v>
      </c>
      <c r="V24" s="88" t="s">
        <v>27</v>
      </c>
      <c r="W24" s="90"/>
      <c r="X24" s="82"/>
      <c r="Y24" s="100" t="str">
        <f>IF(ISNUMBER(E56),AVERAGE(E56:J56),"")</f>
        <v/>
      </c>
      <c r="Z24" s="91" t="str">
        <f>IF(ISNUMBER(E56),STDEV(E56:J56),"")</f>
        <v/>
      </c>
      <c r="AA24" s="92" t="str">
        <f>IF(ISNUMBER(Z24),IF($V24=AA$11,1-O88,""),"")</f>
        <v/>
      </c>
      <c r="AB24" s="92" t="str">
        <f>IF(ISNUMBER(Z24),IF($V24=AB$11,1-O88,""),"")</f>
        <v/>
      </c>
      <c r="AC24" s="94" t="str">
        <f>IF(ISNUMBER(Z24),IF($V24=AC$11,1-O88,""),"")</f>
        <v/>
      </c>
      <c r="AD24" s="97"/>
    </row>
    <row r="25" spans="1:261" ht="21" x14ac:dyDescent="0.25">
      <c r="P25" s="84"/>
      <c r="Q25" s="86"/>
      <c r="R25" s="18" t="s">
        <v>23</v>
      </c>
      <c r="S25" s="19"/>
      <c r="T25" s="86"/>
      <c r="U25" s="87"/>
      <c r="V25" s="89"/>
      <c r="W25" s="90"/>
      <c r="X25" s="82"/>
      <c r="Y25" s="100"/>
      <c r="Z25" s="91"/>
      <c r="AA25" s="93"/>
      <c r="AB25" s="93"/>
      <c r="AC25" s="95"/>
      <c r="AD25" s="97"/>
    </row>
    <row r="26" spans="1:261" ht="21" x14ac:dyDescent="0.25">
      <c r="P26" s="84"/>
      <c r="Q26" s="86" t="s">
        <v>63</v>
      </c>
      <c r="R26" s="18" t="s">
        <v>20</v>
      </c>
      <c r="S26" s="20"/>
      <c r="T26" s="98" t="s">
        <v>21</v>
      </c>
      <c r="U26" s="99">
        <v>1.5E-3</v>
      </c>
      <c r="V26" s="88" t="s">
        <v>27</v>
      </c>
      <c r="W26" s="90"/>
      <c r="X26" s="82"/>
      <c r="Y26" s="100" t="str">
        <f>IF(ISNUMBER(E57),AVERAGE(E57:J57),"")</f>
        <v/>
      </c>
      <c r="Z26" s="91" t="str">
        <f>IF(ISNUMBER(E57),STDEV(E57:J57),"")</f>
        <v/>
      </c>
      <c r="AA26" s="92" t="str">
        <f>IF(ISNUMBER(Z26),IF($V26=AA$11,1-O90,""),"")</f>
        <v/>
      </c>
      <c r="AB26" s="92" t="str">
        <f>IF(ISNUMBER(Z26),IF($V26=AB$11,1-O90,""),"")</f>
        <v/>
      </c>
      <c r="AC26" s="94" t="str">
        <f>IF(ISNUMBER(Z26),IF($V26=AC$11,1-O90,""),"")</f>
        <v/>
      </c>
      <c r="AD26" s="97"/>
    </row>
    <row r="27" spans="1:261" ht="21" x14ac:dyDescent="0.25">
      <c r="P27" s="84"/>
      <c r="Q27" s="86"/>
      <c r="R27" s="18" t="s">
        <v>23</v>
      </c>
      <c r="S27" s="20"/>
      <c r="T27" s="98"/>
      <c r="U27" s="99"/>
      <c r="V27" s="89"/>
      <c r="W27" s="90"/>
      <c r="X27" s="82"/>
      <c r="Y27" s="100"/>
      <c r="Z27" s="91"/>
      <c r="AA27" s="93"/>
      <c r="AB27" s="93"/>
      <c r="AC27" s="95"/>
      <c r="AD27" s="97"/>
    </row>
    <row r="28" spans="1:261" ht="21" x14ac:dyDescent="0.25">
      <c r="P28" s="84"/>
      <c r="Q28" s="86" t="s">
        <v>64</v>
      </c>
      <c r="R28" s="18" t="s">
        <v>20</v>
      </c>
      <c r="S28" s="19"/>
      <c r="T28" s="86" t="s">
        <v>21</v>
      </c>
      <c r="U28" s="87">
        <v>1.5E-3</v>
      </c>
      <c r="V28" s="88" t="s">
        <v>27</v>
      </c>
      <c r="W28" s="90"/>
      <c r="X28" s="82"/>
      <c r="Y28" s="100" t="str">
        <f>IF(ISNUMBER(E58),AVERAGE(E58:J58),"")</f>
        <v/>
      </c>
      <c r="Z28" s="91" t="str">
        <f>IF(ISNUMBER(E58),STDEV(E58:J58),"")</f>
        <v/>
      </c>
      <c r="AA28" s="92" t="str">
        <f>IF(ISNUMBER(Z28),IF($V28=AA$11,1-O92,""),"")</f>
        <v/>
      </c>
      <c r="AB28" s="92" t="str">
        <f>IF(ISNUMBER(Z28),IF($V28=AB$11,1-O92,""),"")</f>
        <v/>
      </c>
      <c r="AC28" s="94" t="str">
        <f>IF(ISNUMBER(Z28),IF($V28=AC$11,1-O92,""),"")</f>
        <v/>
      </c>
      <c r="AD28" s="97"/>
    </row>
    <row r="29" spans="1:261" ht="21" x14ac:dyDescent="0.25">
      <c r="P29" s="85"/>
      <c r="Q29" s="86"/>
      <c r="R29" s="18" t="s">
        <v>23</v>
      </c>
      <c r="S29" s="19"/>
      <c r="T29" s="86"/>
      <c r="U29" s="87"/>
      <c r="V29" s="89"/>
      <c r="W29" s="90"/>
      <c r="X29" s="82"/>
      <c r="Y29" s="100"/>
      <c r="Z29" s="91"/>
      <c r="AA29" s="93"/>
      <c r="AB29" s="93"/>
      <c r="AC29" s="95"/>
      <c r="AD29" s="97"/>
    </row>
    <row r="30" spans="1:261" ht="21" customHeight="1" x14ac:dyDescent="0.25">
      <c r="P30" s="83" t="s">
        <v>28</v>
      </c>
      <c r="Q30" s="21" t="s">
        <v>29</v>
      </c>
      <c r="R30" s="18" t="s">
        <v>20</v>
      </c>
      <c r="S30" s="20">
        <v>12</v>
      </c>
      <c r="T30" s="22" t="s">
        <v>21</v>
      </c>
      <c r="U30" s="23">
        <v>1.5E-3</v>
      </c>
      <c r="V30" s="24">
        <v>0.1</v>
      </c>
      <c r="W30" s="90"/>
      <c r="X30" s="82"/>
      <c r="Y30" s="25">
        <f ca="1">IF(ISNUMBER(E59),AVERAGE(E59:J59),"")</f>
        <v>11.800477212335302</v>
      </c>
      <c r="Z30" s="25">
        <f ca="1">IF(ISNUMBER(E59),STDEV(E59:J59),"")</f>
        <v>2.6777894811711562E-3</v>
      </c>
      <c r="AA30" s="26" t="str">
        <f ca="1">IF(ISNUMBER(Z30),IF($V30=AA$11,1-O94,""),"")</f>
        <v/>
      </c>
      <c r="AB30" s="26" t="str">
        <f ca="1">IF(ISNUMBER(Z30),IF($V30=AB$11,1-O94,""),"")</f>
        <v/>
      </c>
      <c r="AC30" s="27">
        <f ca="1">IF(ISNUMBER(Z30),IF($V30=AC$11,1-O94,""),"")</f>
        <v>0.99996359967280113</v>
      </c>
      <c r="AD30" s="97"/>
    </row>
    <row r="31" spans="1:261" s="1" customFormat="1" ht="2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84"/>
      <c r="Q31" s="21" t="s">
        <v>30</v>
      </c>
      <c r="R31" s="18" t="s">
        <v>23</v>
      </c>
      <c r="S31" s="19">
        <v>12</v>
      </c>
      <c r="T31" s="21" t="s">
        <v>31</v>
      </c>
      <c r="U31" s="28">
        <v>1.5E-3</v>
      </c>
      <c r="V31" s="24">
        <v>10</v>
      </c>
      <c r="W31" s="90"/>
      <c r="X31" s="82"/>
      <c r="Y31" s="25">
        <f t="shared" ref="Y31:Y38" ca="1" si="0">IF(ISNUMBER(E60),AVERAGE(E60:J60),"")</f>
        <v>12.310593574337299</v>
      </c>
      <c r="Z31" s="25">
        <f t="shared" ref="Z31:Z38" ca="1" si="1">IF(ISNUMBER(E60),STDEV(E60:J60),"")</f>
        <v>1.4442380262130825E-3</v>
      </c>
      <c r="AA31" s="26">
        <f t="shared" ref="AA31:AA38" ca="1" si="2">IF(ISNUMBER(Z31),IF($V31=AA$11,1-O95,""),"")</f>
        <v>0.99996359967280113</v>
      </c>
      <c r="AB31" s="26" t="str">
        <f t="shared" ref="AB31:AB38" ca="1" si="3">IF(ISNUMBER(Z31),IF($V31=AB$11,1-O95,""),"")</f>
        <v/>
      </c>
      <c r="AC31" s="27" t="str">
        <f t="shared" ref="AC31:AC38" ca="1" si="4">IF(ISNUMBER(Z31),IF($V31=AC$11,1-O95,""),"")</f>
        <v/>
      </c>
      <c r="AD31" s="97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</row>
    <row r="32" spans="1:261" s="1" customFormat="1" ht="2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84"/>
      <c r="Q32" s="21" t="s">
        <v>32</v>
      </c>
      <c r="R32" s="18" t="s">
        <v>23</v>
      </c>
      <c r="S32" s="20">
        <v>11</v>
      </c>
      <c r="T32" s="22" t="s">
        <v>21</v>
      </c>
      <c r="U32" s="23">
        <v>1.5E-3</v>
      </c>
      <c r="V32" s="24">
        <v>2.5</v>
      </c>
      <c r="W32" s="90"/>
      <c r="X32" s="82"/>
      <c r="Y32" s="25">
        <f t="shared" ca="1" si="0"/>
        <v>11.001021706426826</v>
      </c>
      <c r="Z32" s="25">
        <f t="shared" ca="1" si="1"/>
        <v>1.4898006441892914E-3</v>
      </c>
      <c r="AA32" s="26" t="str">
        <f t="shared" ca="1" si="2"/>
        <v/>
      </c>
      <c r="AB32" s="26">
        <f t="shared" ca="1" si="3"/>
        <v>0.67418892983099099</v>
      </c>
      <c r="AC32" s="27" t="str">
        <f t="shared" ca="1" si="4"/>
        <v/>
      </c>
      <c r="AD32" s="97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</row>
    <row r="33" spans="1:261" s="1" customFormat="1" ht="2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84"/>
      <c r="Q33" s="21"/>
      <c r="R33" s="18"/>
      <c r="S33" s="19"/>
      <c r="T33" s="21"/>
      <c r="U33" s="28"/>
      <c r="V33" s="24" t="s">
        <v>27</v>
      </c>
      <c r="W33" s="90"/>
      <c r="X33" s="82"/>
      <c r="Y33" s="25" t="str">
        <f t="shared" si="0"/>
        <v/>
      </c>
      <c r="Z33" s="25" t="str">
        <f t="shared" si="1"/>
        <v/>
      </c>
      <c r="AA33" s="26" t="str">
        <f t="shared" si="2"/>
        <v/>
      </c>
      <c r="AB33" s="26" t="str">
        <f t="shared" si="3"/>
        <v/>
      </c>
      <c r="AC33" s="27" t="str">
        <f t="shared" si="4"/>
        <v/>
      </c>
      <c r="AD33" s="97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</row>
    <row r="34" spans="1:261" s="1" customFormat="1" ht="2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84"/>
      <c r="Q34" s="21"/>
      <c r="R34" s="18"/>
      <c r="S34" s="20"/>
      <c r="T34" s="22"/>
      <c r="U34" s="23"/>
      <c r="V34" s="24" t="s">
        <v>27</v>
      </c>
      <c r="W34" s="90"/>
      <c r="X34" s="82"/>
      <c r="Y34" s="25" t="str">
        <f t="shared" si="0"/>
        <v/>
      </c>
      <c r="Z34" s="25" t="str">
        <f t="shared" si="1"/>
        <v/>
      </c>
      <c r="AA34" s="26" t="str">
        <f t="shared" si="2"/>
        <v/>
      </c>
      <c r="AB34" s="26" t="str">
        <f t="shared" si="3"/>
        <v/>
      </c>
      <c r="AC34" s="27" t="str">
        <f t="shared" si="4"/>
        <v/>
      </c>
      <c r="AD34" s="97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</row>
    <row r="35" spans="1:261" s="1" customFormat="1" ht="2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84"/>
      <c r="Q35" s="21"/>
      <c r="R35" s="18"/>
      <c r="S35" s="19"/>
      <c r="T35" s="21"/>
      <c r="U35" s="28"/>
      <c r="V35" s="24" t="s">
        <v>27</v>
      </c>
      <c r="W35" s="90"/>
      <c r="X35" s="82"/>
      <c r="Y35" s="25" t="str">
        <f t="shared" si="0"/>
        <v/>
      </c>
      <c r="Z35" s="25" t="str">
        <f t="shared" si="1"/>
        <v/>
      </c>
      <c r="AA35" s="26" t="str">
        <f t="shared" si="2"/>
        <v/>
      </c>
      <c r="AB35" s="26" t="str">
        <f t="shared" si="3"/>
        <v/>
      </c>
      <c r="AC35" s="27" t="str">
        <f t="shared" si="4"/>
        <v/>
      </c>
      <c r="AD35" s="97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</row>
    <row r="36" spans="1:261" s="1" customFormat="1" ht="2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s="84"/>
      <c r="Q36" s="21"/>
      <c r="R36" s="18"/>
      <c r="S36" s="20"/>
      <c r="T36" s="22"/>
      <c r="U36" s="23"/>
      <c r="V36" s="24" t="s">
        <v>27</v>
      </c>
      <c r="W36" s="90"/>
      <c r="X36" s="82"/>
      <c r="Y36" s="25" t="str">
        <f t="shared" si="0"/>
        <v/>
      </c>
      <c r="Z36" s="25" t="str">
        <f t="shared" si="1"/>
        <v/>
      </c>
      <c r="AA36" s="26" t="str">
        <f t="shared" si="2"/>
        <v/>
      </c>
      <c r="AB36" s="26" t="str">
        <f t="shared" si="3"/>
        <v/>
      </c>
      <c r="AC36" s="27" t="str">
        <f t="shared" si="4"/>
        <v/>
      </c>
      <c r="AD36" s="97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</row>
    <row r="37" spans="1:261" s="1" customFormat="1" ht="2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s="84"/>
      <c r="Q37" s="21"/>
      <c r="R37" s="18"/>
      <c r="S37" s="19"/>
      <c r="T37" s="21"/>
      <c r="U37" s="28"/>
      <c r="V37" s="24" t="s">
        <v>27</v>
      </c>
      <c r="W37" s="90"/>
      <c r="X37" s="82"/>
      <c r="Y37" s="25" t="str">
        <f t="shared" si="0"/>
        <v/>
      </c>
      <c r="Z37" s="25" t="str">
        <f t="shared" si="1"/>
        <v/>
      </c>
      <c r="AA37" s="26" t="str">
        <f t="shared" si="2"/>
        <v/>
      </c>
      <c r="AB37" s="26" t="str">
        <f t="shared" si="3"/>
        <v/>
      </c>
      <c r="AC37" s="27" t="str">
        <f t="shared" si="4"/>
        <v/>
      </c>
      <c r="AD37" s="9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</row>
    <row r="38" spans="1:261" s="1" customFormat="1" ht="21.75" thickBot="1" x14ac:dyDescent="0.4">
      <c r="A38"/>
      <c r="P38" s="85"/>
      <c r="Q38" s="21"/>
      <c r="R38" s="18"/>
      <c r="S38" s="20"/>
      <c r="T38" s="22"/>
      <c r="U38" s="23"/>
      <c r="V38" s="24" t="s">
        <v>27</v>
      </c>
      <c r="W38" s="90"/>
      <c r="X38" s="82"/>
      <c r="Y38" s="25" t="str">
        <f t="shared" si="0"/>
        <v/>
      </c>
      <c r="Z38" s="25" t="str">
        <f t="shared" si="1"/>
        <v/>
      </c>
      <c r="AA38" s="26" t="str">
        <f t="shared" si="2"/>
        <v/>
      </c>
      <c r="AB38" s="26" t="str">
        <f t="shared" si="3"/>
        <v/>
      </c>
      <c r="AC38" s="27" t="str">
        <f t="shared" si="4"/>
        <v/>
      </c>
      <c r="AD38" s="97"/>
      <c r="AG38"/>
      <c r="AH38"/>
      <c r="AI38"/>
      <c r="AJ38"/>
      <c r="AK38"/>
      <c r="AL38"/>
    </row>
    <row r="39" spans="1:261" s="1" customFormat="1" ht="21" x14ac:dyDescent="0.35">
      <c r="A39"/>
      <c r="E39" s="1" t="s">
        <v>60</v>
      </c>
      <c r="J39" s="1" t="s">
        <v>61</v>
      </c>
      <c r="P39" s="29" t="s">
        <v>33</v>
      </c>
      <c r="Q39" s="30"/>
      <c r="R39" s="30"/>
      <c r="S39" s="30"/>
      <c r="T39" s="30"/>
      <c r="U39" s="30"/>
      <c r="V39" s="31"/>
      <c r="W39" s="31"/>
      <c r="X39" s="107" t="s">
        <v>34</v>
      </c>
      <c r="Y39" s="108"/>
      <c r="Z39" s="32" t="s">
        <v>35</v>
      </c>
      <c r="AA39" s="33">
        <f ca="1">IF(AA11="NA","NA",1-PRODUCT(AA12:AA38))</f>
        <v>0.10627424126576257</v>
      </c>
      <c r="AB39" s="33">
        <f ca="1">IF(AB11="NA","NA",1-PRODUCT(AB12:AB38))</f>
        <v>0.32586015156428838</v>
      </c>
      <c r="AC39" s="33">
        <f t="shared" ref="AC39" ca="1" si="5">IF(AC11="NA","NA",1-PRODUCT(AC12:AC38))</f>
        <v>1.0919833162892356E-4</v>
      </c>
      <c r="AD39" s="113" t="s">
        <v>36</v>
      </c>
      <c r="AE39" s="114"/>
      <c r="AF39" s="115"/>
      <c r="AG39"/>
      <c r="AI39"/>
      <c r="AJ39"/>
      <c r="AK39"/>
      <c r="AL39"/>
    </row>
    <row r="40" spans="1:261" s="1" customFormat="1" ht="21" x14ac:dyDescent="0.35">
      <c r="A40"/>
      <c r="C40"/>
      <c r="I40"/>
      <c r="P40" s="31"/>
      <c r="Q40" s="31"/>
      <c r="R40" s="31"/>
      <c r="S40" s="31"/>
      <c r="T40" s="31"/>
      <c r="U40" s="31"/>
      <c r="V40" s="31"/>
      <c r="W40" s="31"/>
      <c r="X40" s="109"/>
      <c r="Y40" s="110"/>
      <c r="Z40" s="34" t="s">
        <v>38</v>
      </c>
      <c r="AA40" s="35">
        <f>Z42/100</f>
        <v>0.2903</v>
      </c>
      <c r="AB40" s="36">
        <f>IF(AB11=E134,E148,IF(AB11=F134,F148,IF(AB11=G134,G148,IF(AB11=H134,H148,IF(AB11=I134,I148,IF(AB11=J134,J148,IF(AB11=K134,K148,IF(AB11=L134,L148,IF(AB11=M134,M148,IF(AB11=N134,N148,IF(AB11=O134,O148,IF(AB11=P134,P148,IF(AB11=Q134,Q148,IF(AB11=R134,R148,IF(AB11=S134,S148,T148)))))))))))))))/100</f>
        <v>9.2460000000000001E-2</v>
      </c>
      <c r="AC40" s="65">
        <f>IF(AC11=E134,E148,IF(AC11=F134,F148,IF(AC11=G134,G148,IF(AC11=H134,H148,IF(AC11=I134,I148,IF(AC11=J134,J148,IF(AC11=K134,K148,IF(AC11=L134,L148,IF(AC11=M134,M148,IF(AC11=N134,N148,IF(AC11=O134,O148,IF(AC11=P134,P148,IF(AC11=Q134,Q148,IF(AC11=R134,R148,IF(AC11=S134,S148,T148)))))))))))))))/100</f>
        <v>4.0210000000000003E-3</v>
      </c>
      <c r="AD40" s="66" t="s">
        <v>39</v>
      </c>
      <c r="AE40" s="66"/>
      <c r="AF40" s="67"/>
      <c r="AG40"/>
      <c r="AH40" s="68" t="s">
        <v>37</v>
      </c>
      <c r="AI40" s="69"/>
      <c r="AJ40" s="69"/>
      <c r="AK40" s="69"/>
      <c r="AL40" s="69"/>
      <c r="AM40" s="11"/>
      <c r="AN40" s="11"/>
    </row>
    <row r="41" spans="1:261" s="1" customFormat="1" ht="21.75" thickBot="1" x14ac:dyDescent="0.4">
      <c r="A41"/>
      <c r="P41" s="31"/>
      <c r="Q41" s="31"/>
      <c r="R41" s="31"/>
      <c r="S41" s="31"/>
      <c r="T41" s="31"/>
      <c r="U41" s="31"/>
      <c r="V41" s="31"/>
      <c r="W41" s="31"/>
      <c r="X41" s="111"/>
      <c r="Y41" s="112"/>
      <c r="Z41" s="37" t="s">
        <v>40</v>
      </c>
      <c r="AA41" s="38" t="str">
        <f ca="1">IF(AA39&lt;AA40,"accept","reject")</f>
        <v>accept</v>
      </c>
      <c r="AB41" s="38" t="str">
        <f ca="1">IF(AB39&lt;AB40,"accept","reject")</f>
        <v>reject</v>
      </c>
      <c r="AC41" s="38" t="str">
        <f ca="1">IF(AC39&lt;AC40,"accept","reject")</f>
        <v>accept</v>
      </c>
      <c r="AD41" s="39"/>
      <c r="AE41" s="39"/>
      <c r="AF41" s="40"/>
      <c r="AG41"/>
      <c r="AH41"/>
      <c r="AI41"/>
      <c r="AJ41"/>
      <c r="AK41"/>
      <c r="AL41"/>
    </row>
    <row r="42" spans="1:261" s="41" customFormat="1" ht="21.75" thickBot="1" x14ac:dyDescent="0.4">
      <c r="B42" s="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Z42" s="42">
        <f>IF(AA11=E134,E148,IF(AA11=F134,F148,IF(AA11=G134,G148,IF(AA11=H134,H148,IF(AA11=I134,I148,IF(AA11=J134,J148,IF(AA11=K134,K148,IF(AA11=L134,L148,IF(AA11=M134,M148,IF(AA11=N134,N148,IF(AA11=O134,O148,IF(AA11=P134,P148,IF(AA11=Q134,Q148,IF(AA11=R134,R148,IF(AA11=S134,S148,T148)))))))))))))))</f>
        <v>29.03</v>
      </c>
      <c r="AG42"/>
      <c r="AH42"/>
      <c r="AI42"/>
      <c r="AJ42"/>
      <c r="AK42"/>
      <c r="AL42"/>
      <c r="AP42" s="31"/>
      <c r="AQ42" s="31"/>
      <c r="AR42" s="31"/>
      <c r="AS42" s="31"/>
      <c r="AT42" s="31"/>
      <c r="BD42" s="31"/>
      <c r="BE42" s="31"/>
      <c r="BF42" s="31"/>
      <c r="BG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</row>
    <row r="43" spans="1:261" s="41" customFormat="1" ht="15" customHeight="1" x14ac:dyDescent="0.35">
      <c r="B43" s="43"/>
      <c r="C43" s="70" t="s">
        <v>41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2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</row>
    <row r="44" spans="1:261" s="41" customFormat="1" ht="15" customHeight="1" x14ac:dyDescent="0.35">
      <c r="B44" s="43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3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</row>
    <row r="45" spans="1:261" s="41" customFormat="1" ht="15.75" customHeight="1" thickBot="1" x14ac:dyDescent="0.4">
      <c r="B45" s="43"/>
      <c r="C45" s="73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5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</row>
    <row r="46" spans="1:261" s="41" customFormat="1" ht="21" x14ac:dyDescent="0.35">
      <c r="B46" s="43"/>
      <c r="C46" s="44"/>
      <c r="D46" s="45"/>
      <c r="E46" s="45"/>
      <c r="F46" s="45"/>
      <c r="G46" s="45"/>
      <c r="H46" s="46"/>
      <c r="I46" s="47"/>
      <c r="J46" s="48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</row>
    <row r="47" spans="1:261" s="41" customFormat="1" ht="21" x14ac:dyDescent="0.35">
      <c r="B47" s="43"/>
      <c r="C47" s="44"/>
      <c r="D47" s="45"/>
      <c r="E47" s="45"/>
      <c r="F47" s="45"/>
      <c r="G47" s="45"/>
      <c r="H47" s="46"/>
      <c r="I47" s="47"/>
      <c r="J47" s="48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</row>
    <row r="48" spans="1:261" s="41" customFormat="1" ht="21" x14ac:dyDescent="0.35">
      <c r="B48" s="43"/>
      <c r="C48" s="44"/>
      <c r="E48" s="116" t="s">
        <v>42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116"/>
      <c r="GL48" s="116"/>
      <c r="GM48" s="116"/>
      <c r="GN48" s="116"/>
      <c r="GO48" s="116"/>
      <c r="GP48" s="116"/>
      <c r="GQ48" s="116"/>
      <c r="GR48" s="116"/>
      <c r="GS48" s="116"/>
      <c r="GT48" s="116"/>
      <c r="GU48" s="116"/>
      <c r="GV48" s="116"/>
      <c r="GW48" s="116"/>
      <c r="GX48" s="116"/>
      <c r="GY48" s="116"/>
      <c r="GZ48" s="116"/>
      <c r="HA48" s="116"/>
      <c r="HB48" s="116"/>
      <c r="HC48" s="116"/>
      <c r="HD48" s="116"/>
      <c r="HE48" s="116"/>
      <c r="HF48" s="116"/>
      <c r="HG48" s="116"/>
      <c r="HH48" s="116"/>
      <c r="HI48" s="116"/>
      <c r="HJ48" s="116"/>
      <c r="HK48" s="116"/>
      <c r="HL48" s="116"/>
      <c r="HM48" s="116"/>
      <c r="HN48" s="116"/>
      <c r="HO48" s="116"/>
      <c r="HP48" s="116"/>
      <c r="HQ48" s="116"/>
      <c r="HR48" s="116"/>
      <c r="HS48" s="116"/>
      <c r="HT48" s="116"/>
      <c r="HU48" s="116"/>
      <c r="HV48" s="116"/>
      <c r="HW48" s="116"/>
      <c r="HX48" s="116"/>
      <c r="HY48" s="116"/>
      <c r="HZ48" s="116"/>
      <c r="IA48" s="116"/>
      <c r="IB48" s="116"/>
      <c r="IC48" s="116"/>
      <c r="ID48" s="116"/>
      <c r="IE48" s="116"/>
      <c r="IF48" s="116"/>
      <c r="IG48" s="116"/>
      <c r="IH48" s="116"/>
      <c r="II48" s="116"/>
      <c r="IJ48" s="116"/>
      <c r="IK48" s="116"/>
      <c r="IL48" s="116"/>
      <c r="IM48" s="116"/>
      <c r="IN48" s="116"/>
      <c r="IO48" s="116"/>
      <c r="IP48" s="116"/>
      <c r="IQ48" s="116"/>
      <c r="IR48" s="116"/>
      <c r="IS48" s="116"/>
      <c r="IT48" s="116"/>
      <c r="IU48" s="31"/>
      <c r="IV48" s="31"/>
      <c r="IW48" s="31"/>
      <c r="IX48" s="31"/>
      <c r="IY48" s="31"/>
      <c r="IZ48" s="31"/>
      <c r="JA48" s="31"/>
    </row>
    <row r="49" spans="2:261" s="41" customFormat="1" ht="21" customHeight="1" x14ac:dyDescent="0.35">
      <c r="B49" s="43"/>
      <c r="D49" s="13" t="s">
        <v>10</v>
      </c>
      <c r="E49" s="49">
        <v>1</v>
      </c>
      <c r="F49" s="49">
        <v>2</v>
      </c>
      <c r="G49" s="49">
        <v>3</v>
      </c>
      <c r="H49" s="49">
        <v>4</v>
      </c>
      <c r="I49" s="49">
        <v>5</v>
      </c>
      <c r="J49" s="49">
        <v>6</v>
      </c>
      <c r="K49" s="49">
        <v>7</v>
      </c>
      <c r="L49" s="49">
        <v>8</v>
      </c>
      <c r="M49" s="49">
        <v>9</v>
      </c>
      <c r="N49" s="49">
        <v>10</v>
      </c>
      <c r="O49" s="49">
        <v>11</v>
      </c>
      <c r="P49" s="49">
        <v>12</v>
      </c>
      <c r="Q49" s="49">
        <v>13</v>
      </c>
      <c r="R49" s="49">
        <v>14</v>
      </c>
      <c r="S49" s="49">
        <v>15</v>
      </c>
      <c r="T49" s="49">
        <v>16</v>
      </c>
      <c r="U49" s="49">
        <v>17</v>
      </c>
      <c r="V49" s="49">
        <v>18</v>
      </c>
      <c r="W49" s="49">
        <v>19</v>
      </c>
      <c r="X49" s="49">
        <v>20</v>
      </c>
      <c r="Y49" s="49">
        <v>21</v>
      </c>
      <c r="Z49" s="49">
        <v>22</v>
      </c>
      <c r="AA49" s="49">
        <v>23</v>
      </c>
      <c r="AB49" s="49">
        <v>24</v>
      </c>
      <c r="AC49" s="49">
        <v>25</v>
      </c>
      <c r="AD49" s="49">
        <v>26</v>
      </c>
      <c r="AE49" s="49">
        <v>27</v>
      </c>
      <c r="AF49" s="49">
        <v>28</v>
      </c>
      <c r="AG49" s="49">
        <v>29</v>
      </c>
      <c r="AH49" s="49">
        <v>30</v>
      </c>
      <c r="AI49" s="49">
        <v>31</v>
      </c>
      <c r="AJ49" s="49">
        <v>32</v>
      </c>
      <c r="AK49" s="49">
        <v>33</v>
      </c>
      <c r="AL49" s="49">
        <v>34</v>
      </c>
      <c r="AM49" s="49">
        <v>35</v>
      </c>
      <c r="AN49" s="49">
        <v>36</v>
      </c>
      <c r="AO49" s="49">
        <v>37</v>
      </c>
      <c r="AP49" s="49">
        <v>38</v>
      </c>
      <c r="AQ49" s="49">
        <v>39</v>
      </c>
      <c r="AR49" s="49">
        <v>40</v>
      </c>
      <c r="AS49" s="49">
        <v>41</v>
      </c>
      <c r="AT49" s="49">
        <v>42</v>
      </c>
      <c r="AU49" s="49">
        <v>43</v>
      </c>
      <c r="AV49" s="49">
        <v>44</v>
      </c>
      <c r="AW49" s="49">
        <v>45</v>
      </c>
      <c r="AX49" s="49">
        <v>46</v>
      </c>
      <c r="AY49" s="49">
        <v>47</v>
      </c>
      <c r="AZ49" s="49">
        <v>48</v>
      </c>
      <c r="BA49" s="49">
        <v>49</v>
      </c>
      <c r="BB49" s="49">
        <v>50</v>
      </c>
      <c r="BC49" s="49">
        <v>51</v>
      </c>
      <c r="BD49" s="49">
        <v>52</v>
      </c>
      <c r="BE49" s="49">
        <v>53</v>
      </c>
      <c r="BF49" s="49">
        <v>54</v>
      </c>
      <c r="BG49" s="49">
        <v>55</v>
      </c>
      <c r="BH49" s="49">
        <v>56</v>
      </c>
      <c r="BI49" s="49">
        <v>57</v>
      </c>
      <c r="BJ49" s="49">
        <v>58</v>
      </c>
      <c r="BK49" s="49">
        <v>59</v>
      </c>
      <c r="BL49" s="49">
        <v>60</v>
      </c>
      <c r="BM49" s="49">
        <v>61</v>
      </c>
      <c r="BN49" s="49">
        <v>62</v>
      </c>
      <c r="BO49" s="49">
        <v>63</v>
      </c>
      <c r="BP49" s="49">
        <v>64</v>
      </c>
      <c r="BQ49" s="49">
        <v>65</v>
      </c>
      <c r="BR49" s="49">
        <v>66</v>
      </c>
      <c r="BS49" s="49">
        <v>67</v>
      </c>
      <c r="BT49" s="49">
        <v>68</v>
      </c>
      <c r="BU49" s="49">
        <v>69</v>
      </c>
      <c r="BV49" s="49">
        <v>70</v>
      </c>
      <c r="BW49" s="49">
        <v>71</v>
      </c>
      <c r="BX49" s="49">
        <v>72</v>
      </c>
      <c r="BY49" s="49">
        <v>73</v>
      </c>
      <c r="BZ49" s="49">
        <v>74</v>
      </c>
      <c r="CA49" s="49">
        <v>75</v>
      </c>
      <c r="CB49" s="49">
        <v>76</v>
      </c>
      <c r="CC49" s="49">
        <v>77</v>
      </c>
      <c r="CD49" s="49">
        <v>78</v>
      </c>
      <c r="CE49" s="49">
        <v>79</v>
      </c>
      <c r="CF49" s="49">
        <v>80</v>
      </c>
      <c r="CG49" s="49">
        <v>81</v>
      </c>
      <c r="CH49" s="49">
        <v>82</v>
      </c>
      <c r="CI49" s="49">
        <v>83</v>
      </c>
      <c r="CJ49" s="49">
        <v>84</v>
      </c>
      <c r="CK49" s="49">
        <v>85</v>
      </c>
      <c r="CL49" s="49">
        <v>86</v>
      </c>
      <c r="CM49" s="49">
        <v>87</v>
      </c>
      <c r="CN49" s="49">
        <v>88</v>
      </c>
      <c r="CO49" s="49">
        <v>89</v>
      </c>
      <c r="CP49" s="49">
        <v>90</v>
      </c>
      <c r="CQ49" s="49">
        <v>91</v>
      </c>
      <c r="CR49" s="49">
        <v>92</v>
      </c>
      <c r="CS49" s="49">
        <v>93</v>
      </c>
      <c r="CT49" s="49">
        <v>94</v>
      </c>
      <c r="CU49" s="49">
        <v>95</v>
      </c>
      <c r="CV49" s="49">
        <v>96</v>
      </c>
      <c r="CW49" s="49">
        <v>97</v>
      </c>
      <c r="CX49" s="49">
        <v>98</v>
      </c>
      <c r="CY49" s="49">
        <v>99</v>
      </c>
      <c r="CZ49" s="49">
        <v>100</v>
      </c>
      <c r="DA49" s="49">
        <v>101</v>
      </c>
      <c r="DB49" s="49">
        <v>102</v>
      </c>
      <c r="DC49" s="49">
        <v>103</v>
      </c>
      <c r="DD49" s="49">
        <v>104</v>
      </c>
      <c r="DE49" s="49">
        <v>105</v>
      </c>
      <c r="DF49" s="49">
        <v>106</v>
      </c>
      <c r="DG49" s="49">
        <v>107</v>
      </c>
      <c r="DH49" s="49">
        <v>108</v>
      </c>
      <c r="DI49" s="49">
        <v>109</v>
      </c>
      <c r="DJ49" s="49">
        <v>110</v>
      </c>
      <c r="DK49" s="49">
        <v>111</v>
      </c>
      <c r="DL49" s="49">
        <v>112</v>
      </c>
      <c r="DM49" s="49">
        <v>113</v>
      </c>
      <c r="DN49" s="49">
        <v>114</v>
      </c>
      <c r="DO49" s="49">
        <v>115</v>
      </c>
      <c r="DP49" s="49">
        <v>116</v>
      </c>
      <c r="DQ49" s="49">
        <v>117</v>
      </c>
      <c r="DR49" s="49">
        <v>118</v>
      </c>
      <c r="DS49" s="49">
        <v>119</v>
      </c>
      <c r="DT49" s="49">
        <v>120</v>
      </c>
      <c r="DU49" s="49">
        <v>121</v>
      </c>
      <c r="DV49" s="49">
        <v>122</v>
      </c>
      <c r="DW49" s="49">
        <v>123</v>
      </c>
      <c r="DX49" s="49">
        <v>124</v>
      </c>
      <c r="DY49" s="49">
        <v>125</v>
      </c>
      <c r="DZ49" s="49">
        <v>126</v>
      </c>
      <c r="EA49" s="49">
        <v>127</v>
      </c>
      <c r="EB49" s="49">
        <v>128</v>
      </c>
      <c r="EC49" s="49">
        <v>129</v>
      </c>
      <c r="ED49" s="49">
        <v>130</v>
      </c>
      <c r="EE49" s="49">
        <v>131</v>
      </c>
      <c r="EF49" s="49">
        <v>132</v>
      </c>
      <c r="EG49" s="49">
        <v>133</v>
      </c>
      <c r="EH49" s="49">
        <v>134</v>
      </c>
      <c r="EI49" s="49">
        <v>135</v>
      </c>
      <c r="EJ49" s="49">
        <v>136</v>
      </c>
      <c r="EK49" s="49">
        <v>137</v>
      </c>
      <c r="EL49" s="49">
        <v>138</v>
      </c>
      <c r="EM49" s="49">
        <v>139</v>
      </c>
      <c r="EN49" s="49">
        <v>140</v>
      </c>
      <c r="EO49" s="49">
        <v>141</v>
      </c>
      <c r="EP49" s="49">
        <v>142</v>
      </c>
      <c r="EQ49" s="49">
        <v>143</v>
      </c>
      <c r="ER49" s="49">
        <v>144</v>
      </c>
      <c r="ES49" s="49">
        <v>145</v>
      </c>
      <c r="ET49" s="49">
        <v>146</v>
      </c>
      <c r="EU49" s="49">
        <v>147</v>
      </c>
      <c r="EV49" s="49">
        <v>148</v>
      </c>
      <c r="EW49" s="49">
        <v>149</v>
      </c>
      <c r="EX49" s="49">
        <v>150</v>
      </c>
      <c r="EY49" s="49">
        <v>151</v>
      </c>
      <c r="EZ49" s="49">
        <v>152</v>
      </c>
      <c r="FA49" s="49">
        <v>153</v>
      </c>
      <c r="FB49" s="49">
        <v>154</v>
      </c>
      <c r="FC49" s="49">
        <v>155</v>
      </c>
      <c r="FD49" s="49">
        <v>156</v>
      </c>
      <c r="FE49" s="49">
        <v>157</v>
      </c>
      <c r="FF49" s="49">
        <v>158</v>
      </c>
      <c r="FG49" s="49">
        <v>159</v>
      </c>
      <c r="FH49" s="49">
        <v>160</v>
      </c>
      <c r="FI49" s="49">
        <v>161</v>
      </c>
      <c r="FJ49" s="49">
        <v>162</v>
      </c>
      <c r="FK49" s="49">
        <v>163</v>
      </c>
      <c r="FL49" s="49">
        <v>164</v>
      </c>
      <c r="FM49" s="49">
        <v>165</v>
      </c>
      <c r="FN49" s="49">
        <v>166</v>
      </c>
      <c r="FO49" s="49">
        <v>167</v>
      </c>
      <c r="FP49" s="49">
        <v>168</v>
      </c>
      <c r="FQ49" s="49">
        <v>169</v>
      </c>
      <c r="FR49" s="49">
        <v>170</v>
      </c>
      <c r="FS49" s="49">
        <v>171</v>
      </c>
      <c r="FT49" s="49">
        <v>172</v>
      </c>
      <c r="FU49" s="49">
        <v>173</v>
      </c>
      <c r="FV49" s="49">
        <v>174</v>
      </c>
      <c r="FW49" s="49">
        <v>175</v>
      </c>
      <c r="FX49" s="49">
        <v>176</v>
      </c>
      <c r="FY49" s="49">
        <v>177</v>
      </c>
      <c r="FZ49" s="49">
        <v>178</v>
      </c>
      <c r="GA49" s="49">
        <v>179</v>
      </c>
      <c r="GB49" s="49">
        <v>180</v>
      </c>
      <c r="GC49" s="49">
        <v>181</v>
      </c>
      <c r="GD49" s="49">
        <v>182</v>
      </c>
      <c r="GE49" s="49">
        <v>183</v>
      </c>
      <c r="GF49" s="49">
        <v>184</v>
      </c>
      <c r="GG49" s="49">
        <v>185</v>
      </c>
      <c r="GH49" s="49">
        <v>186</v>
      </c>
      <c r="GI49" s="49">
        <v>187</v>
      </c>
      <c r="GJ49" s="49">
        <v>188</v>
      </c>
      <c r="GK49" s="49">
        <v>189</v>
      </c>
      <c r="GL49" s="49">
        <v>190</v>
      </c>
      <c r="GM49" s="49">
        <v>191</v>
      </c>
      <c r="GN49" s="49">
        <v>192</v>
      </c>
      <c r="GO49" s="49">
        <v>193</v>
      </c>
      <c r="GP49" s="49">
        <v>194</v>
      </c>
      <c r="GQ49" s="49">
        <v>195</v>
      </c>
      <c r="GR49" s="49">
        <v>196</v>
      </c>
      <c r="GS49" s="49">
        <v>197</v>
      </c>
      <c r="GT49" s="49">
        <v>198</v>
      </c>
      <c r="GU49" s="49">
        <v>199</v>
      </c>
      <c r="GV49" s="49">
        <v>200</v>
      </c>
      <c r="GW49" s="49">
        <v>201</v>
      </c>
      <c r="GX49" s="49">
        <v>202</v>
      </c>
      <c r="GY49" s="49">
        <v>203</v>
      </c>
      <c r="GZ49" s="49">
        <v>204</v>
      </c>
      <c r="HA49" s="49">
        <v>205</v>
      </c>
      <c r="HB49" s="49">
        <v>206</v>
      </c>
      <c r="HC49" s="49">
        <v>207</v>
      </c>
      <c r="HD49" s="49">
        <v>208</v>
      </c>
      <c r="HE49" s="49">
        <v>209</v>
      </c>
      <c r="HF49" s="49">
        <v>210</v>
      </c>
      <c r="HG49" s="49">
        <v>211</v>
      </c>
      <c r="HH49" s="49">
        <v>212</v>
      </c>
      <c r="HI49" s="49">
        <v>213</v>
      </c>
      <c r="HJ49" s="49">
        <v>214</v>
      </c>
      <c r="HK49" s="49">
        <v>215</v>
      </c>
      <c r="HL49" s="49">
        <v>216</v>
      </c>
      <c r="HM49" s="49">
        <v>217</v>
      </c>
      <c r="HN49" s="49">
        <v>218</v>
      </c>
      <c r="HO49" s="49">
        <v>219</v>
      </c>
      <c r="HP49" s="49">
        <v>220</v>
      </c>
      <c r="HQ49" s="49">
        <v>221</v>
      </c>
      <c r="HR49" s="49">
        <v>222</v>
      </c>
      <c r="HS49" s="49">
        <v>223</v>
      </c>
      <c r="HT49" s="49">
        <v>224</v>
      </c>
      <c r="HU49" s="49">
        <v>225</v>
      </c>
      <c r="HV49" s="49">
        <v>226</v>
      </c>
      <c r="HW49" s="49">
        <v>227</v>
      </c>
      <c r="HX49" s="49">
        <v>228</v>
      </c>
      <c r="HY49" s="49">
        <v>229</v>
      </c>
      <c r="HZ49" s="49">
        <v>230</v>
      </c>
      <c r="IA49" s="49">
        <v>231</v>
      </c>
      <c r="IB49" s="49">
        <v>232</v>
      </c>
      <c r="IC49" s="49">
        <v>233</v>
      </c>
      <c r="ID49" s="49">
        <v>234</v>
      </c>
      <c r="IE49" s="49">
        <v>235</v>
      </c>
      <c r="IF49" s="49">
        <v>236</v>
      </c>
      <c r="IG49" s="49">
        <v>237</v>
      </c>
      <c r="IH49" s="49">
        <v>238</v>
      </c>
      <c r="II49" s="49">
        <v>239</v>
      </c>
      <c r="IJ49" s="49">
        <v>240</v>
      </c>
      <c r="IK49" s="49">
        <v>241</v>
      </c>
      <c r="IL49" s="49">
        <v>242</v>
      </c>
      <c r="IM49" s="49">
        <v>243</v>
      </c>
      <c r="IN49" s="49">
        <v>244</v>
      </c>
      <c r="IO49" s="49">
        <v>245</v>
      </c>
      <c r="IP49" s="49">
        <v>246</v>
      </c>
      <c r="IQ49" s="49">
        <v>247</v>
      </c>
      <c r="IR49" s="49">
        <v>248</v>
      </c>
      <c r="IS49" s="49">
        <v>249</v>
      </c>
      <c r="IT49" s="49">
        <v>250</v>
      </c>
      <c r="IU49" s="31"/>
      <c r="IV49" s="31"/>
      <c r="IW49" s="31"/>
      <c r="IX49" s="31"/>
      <c r="IY49" s="31"/>
      <c r="IZ49" s="31"/>
      <c r="JA49" s="31"/>
    </row>
    <row r="50" spans="2:261" s="41" customFormat="1" ht="21" x14ac:dyDescent="0.35">
      <c r="B50" s="43"/>
      <c r="C50" s="83" t="s">
        <v>18</v>
      </c>
      <c r="D50" s="50" t="str">
        <f>IF(ISBLANK(Q12),"",Q12)</f>
        <v>A</v>
      </c>
      <c r="E50" s="51">
        <v>32.256999999999998</v>
      </c>
      <c r="F50" s="51">
        <f ca="1">$E50+(RAND()-RAND())/100</f>
        <v>32.259434848954804</v>
      </c>
      <c r="G50" s="51">
        <f t="shared" ref="G50:J61" ca="1" si="6">$E50+(RAND()-RAND())/100</f>
        <v>32.260044397874424</v>
      </c>
      <c r="H50" s="51">
        <f t="shared" ca="1" si="6"/>
        <v>32.259205552036931</v>
      </c>
      <c r="I50" s="51">
        <f t="shared" ca="1" si="6"/>
        <v>32.257381880004388</v>
      </c>
      <c r="J50" s="51">
        <f t="shared" ca="1" si="6"/>
        <v>32.257311896479202</v>
      </c>
      <c r="K50" s="51"/>
      <c r="L50" s="51"/>
      <c r="M50" s="51"/>
      <c r="N50" s="51"/>
      <c r="O50" s="52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  <c r="GC50" s="51"/>
      <c r="GD50" s="51"/>
      <c r="GE50" s="51"/>
      <c r="GF50" s="51"/>
      <c r="GG50" s="51"/>
      <c r="GH50" s="51"/>
      <c r="GI50" s="51"/>
      <c r="GJ50" s="51"/>
      <c r="GK50" s="51"/>
      <c r="GL50" s="51"/>
      <c r="GM50" s="51"/>
      <c r="GN50" s="51"/>
      <c r="GO50" s="51"/>
      <c r="GP50" s="51"/>
      <c r="GQ50" s="51"/>
      <c r="GR50" s="51"/>
      <c r="GS50" s="51"/>
      <c r="GT50" s="51"/>
      <c r="GU50" s="51"/>
      <c r="GV50" s="51"/>
      <c r="GW50" s="51"/>
      <c r="GX50" s="51"/>
      <c r="GY50" s="51"/>
      <c r="GZ50" s="51"/>
      <c r="HA50" s="51"/>
      <c r="HB50" s="51"/>
      <c r="HC50" s="51"/>
      <c r="HD50" s="51"/>
      <c r="HE50" s="51"/>
      <c r="HF50" s="51"/>
      <c r="HG50" s="51"/>
      <c r="HH50" s="51"/>
      <c r="HI50" s="51"/>
      <c r="HJ50" s="51"/>
      <c r="HK50" s="51"/>
      <c r="HL50" s="51"/>
      <c r="HM50" s="51"/>
      <c r="HN50" s="51"/>
      <c r="HO50" s="51"/>
      <c r="HP50" s="51"/>
      <c r="HQ50" s="51"/>
      <c r="HR50" s="51"/>
      <c r="HS50" s="51"/>
      <c r="HT50" s="51"/>
      <c r="HU50" s="51"/>
      <c r="HV50" s="51"/>
      <c r="HW50" s="51"/>
      <c r="HX50" s="51"/>
      <c r="HY50" s="51"/>
      <c r="HZ50" s="51"/>
      <c r="IA50" s="51"/>
      <c r="IB50" s="51"/>
      <c r="IC50" s="51"/>
      <c r="ID50" s="51"/>
      <c r="IE50" s="51"/>
      <c r="IF50" s="51"/>
      <c r="IG50" s="51"/>
      <c r="IH50" s="51"/>
      <c r="II50" s="51"/>
      <c r="IJ50" s="51"/>
      <c r="IK50" s="51"/>
      <c r="IL50" s="51"/>
      <c r="IM50" s="51"/>
      <c r="IN50" s="51"/>
      <c r="IO50" s="51"/>
      <c r="IP50" s="51"/>
      <c r="IQ50" s="51"/>
      <c r="IR50" s="51"/>
      <c r="IS50" s="51"/>
      <c r="IT50" s="51"/>
      <c r="IU50" s="31"/>
      <c r="IV50" s="31"/>
      <c r="IW50" s="31"/>
      <c r="IX50" s="31"/>
      <c r="IY50" s="31"/>
      <c r="IZ50" s="31"/>
      <c r="JA50" s="31"/>
    </row>
    <row r="51" spans="2:261" s="41" customFormat="1" ht="21" x14ac:dyDescent="0.35">
      <c r="B51" s="43"/>
      <c r="C51" s="84"/>
      <c r="D51" s="50" t="str">
        <f>IF(ISBLANK(Q14),"",Q14)</f>
        <v>B</v>
      </c>
      <c r="E51" s="20">
        <v>30.98</v>
      </c>
      <c r="F51" s="51">
        <f t="shared" ref="F51:F61" ca="1" si="7">$E51+(RAND()-RAND())/100</f>
        <v>30.976656172984409</v>
      </c>
      <c r="G51" s="51">
        <f t="shared" ca="1" si="6"/>
        <v>30.980108075610051</v>
      </c>
      <c r="H51" s="51">
        <f t="shared" ca="1" si="6"/>
        <v>30.980667225507631</v>
      </c>
      <c r="I51" s="51">
        <f t="shared" ca="1" si="6"/>
        <v>30.978375669094603</v>
      </c>
      <c r="J51" s="51">
        <f t="shared" ca="1" si="6"/>
        <v>30.974221764971848</v>
      </c>
      <c r="K51" s="20"/>
      <c r="L51" s="20"/>
      <c r="M51" s="20"/>
      <c r="N51" s="20"/>
      <c r="O51" s="52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31"/>
      <c r="IV51" s="31"/>
      <c r="IW51" s="31"/>
      <c r="IX51" s="31"/>
      <c r="IY51" s="31"/>
      <c r="IZ51" s="31"/>
      <c r="JA51" s="31"/>
    </row>
    <row r="52" spans="2:261" s="41" customFormat="1" ht="21" x14ac:dyDescent="0.35">
      <c r="B52" s="43"/>
      <c r="C52" s="84"/>
      <c r="D52" s="50" t="str">
        <f>IF(ISBLANK(Q16),"",Q16)</f>
        <v>C</v>
      </c>
      <c r="E52" s="20">
        <v>34.700000000000003</v>
      </c>
      <c r="F52" s="51">
        <f t="shared" ca="1" si="7"/>
        <v>34.697325289357693</v>
      </c>
      <c r="G52" s="51">
        <f t="shared" ca="1" si="6"/>
        <v>34.709669040085096</v>
      </c>
      <c r="H52" s="51">
        <f t="shared" ca="1" si="6"/>
        <v>34.696023936792066</v>
      </c>
      <c r="I52" s="51">
        <f t="shared" ca="1" si="6"/>
        <v>34.701487533261471</v>
      </c>
      <c r="J52" s="51">
        <f t="shared" ca="1" si="6"/>
        <v>34.698976297080186</v>
      </c>
      <c r="K52" s="20"/>
      <c r="L52" s="20"/>
      <c r="M52" s="20"/>
      <c r="N52" s="20"/>
      <c r="O52" s="52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31"/>
      <c r="IV52" s="31"/>
      <c r="IW52" s="31"/>
      <c r="IX52" s="31"/>
      <c r="IY52" s="31"/>
      <c r="IZ52" s="31"/>
      <c r="JA52" s="31"/>
    </row>
    <row r="53" spans="2:261" s="41" customFormat="1" ht="21" x14ac:dyDescent="0.35">
      <c r="B53" s="43"/>
      <c r="C53" s="84"/>
      <c r="D53" s="50" t="str">
        <f>IF(ISBLANK(Q18),"",Q18)</f>
        <v>D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31"/>
      <c r="IV53" s="31"/>
      <c r="IW53" s="31"/>
      <c r="IX53" s="31"/>
      <c r="IY53" s="31"/>
      <c r="IZ53" s="31"/>
      <c r="JA53" s="31"/>
    </row>
    <row r="54" spans="2:261" s="41" customFormat="1" ht="21" x14ac:dyDescent="0.35">
      <c r="B54" s="43"/>
      <c r="C54" s="84"/>
      <c r="D54" s="50" t="str">
        <f>IF(ISBLANK(Q20),"",Q20)</f>
        <v>E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31"/>
      <c r="IV54" s="31"/>
      <c r="IW54" s="31"/>
      <c r="IX54" s="31"/>
      <c r="IY54" s="31"/>
      <c r="IZ54" s="31"/>
      <c r="JA54" s="31"/>
    </row>
    <row r="55" spans="2:261" s="41" customFormat="1" ht="21" x14ac:dyDescent="0.35">
      <c r="B55" s="43"/>
      <c r="C55" s="84"/>
      <c r="D55" s="50" t="str">
        <f>IF(ISBLANK(Q22),"",Q22)</f>
        <v>F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31"/>
      <c r="IV55" s="31"/>
      <c r="IW55" s="31"/>
      <c r="IX55" s="31"/>
      <c r="IY55" s="31"/>
      <c r="IZ55" s="31"/>
      <c r="JA55" s="31"/>
    </row>
    <row r="56" spans="2:261" s="41" customFormat="1" ht="21" x14ac:dyDescent="0.35">
      <c r="B56" s="43"/>
      <c r="C56" s="84"/>
      <c r="D56" s="50" t="str">
        <f>IF(ISBLANK(Q24),"",Q24)</f>
        <v>G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31"/>
      <c r="IV56" s="31"/>
      <c r="IW56" s="31"/>
      <c r="IX56" s="31"/>
      <c r="IY56" s="31"/>
      <c r="IZ56" s="31"/>
      <c r="JA56" s="31"/>
    </row>
    <row r="57" spans="2:261" s="41" customFormat="1" ht="21" x14ac:dyDescent="0.35">
      <c r="B57" s="43"/>
      <c r="C57" s="84"/>
      <c r="D57" s="50" t="str">
        <f>IF(ISBLANK(Q26),"",Q26)</f>
        <v>H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31"/>
      <c r="IV57" s="31"/>
      <c r="IW57" s="31"/>
      <c r="IX57" s="31"/>
      <c r="IY57" s="31"/>
      <c r="IZ57" s="31"/>
      <c r="JA57" s="31"/>
    </row>
    <row r="58" spans="2:261" s="41" customFormat="1" ht="21" x14ac:dyDescent="0.35">
      <c r="B58" s="43"/>
      <c r="C58" s="84"/>
      <c r="D58" s="50" t="str">
        <f>IF(ISBLANK(Q28),"",Q28)</f>
        <v>I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31"/>
      <c r="IV58" s="31"/>
      <c r="IW58" s="31"/>
      <c r="IX58" s="31"/>
      <c r="IY58" s="31"/>
      <c r="IZ58" s="31"/>
      <c r="JA58" s="31"/>
    </row>
    <row r="59" spans="2:261" s="41" customFormat="1" ht="21" x14ac:dyDescent="0.35">
      <c r="B59" s="43"/>
      <c r="C59" s="83" t="s">
        <v>28</v>
      </c>
      <c r="D59" s="50" t="str">
        <f t="shared" ref="D59:D67" si="8">IF(ISBLANK(Q30),"",Q30)</f>
        <v>D</v>
      </c>
      <c r="E59" s="20">
        <v>11.8</v>
      </c>
      <c r="F59" s="51">
        <f t="shared" ca="1" si="7"/>
        <v>11.798339367286838</v>
      </c>
      <c r="G59" s="51">
        <f t="shared" ca="1" si="6"/>
        <v>11.805485213108133</v>
      </c>
      <c r="H59" s="51">
        <f t="shared" ca="1" si="6"/>
        <v>11.799192901683821</v>
      </c>
      <c r="I59" s="51">
        <f t="shared" ca="1" si="6"/>
        <v>11.798560800044861</v>
      </c>
      <c r="J59" s="51">
        <f t="shared" ca="1" si="6"/>
        <v>11.801284991888156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31"/>
      <c r="IV59" s="31"/>
      <c r="IW59" s="31"/>
      <c r="IX59" s="31"/>
      <c r="IY59" s="31"/>
      <c r="IZ59" s="31"/>
      <c r="JA59" s="31"/>
    </row>
    <row r="60" spans="2:261" s="41" customFormat="1" ht="21" x14ac:dyDescent="0.35">
      <c r="B60" s="43"/>
      <c r="C60" s="84"/>
      <c r="D60" s="50" t="str">
        <f t="shared" si="8"/>
        <v>E</v>
      </c>
      <c r="E60" s="20">
        <f ca="1">12+RAND()</f>
        <v>12.309620106655791</v>
      </c>
      <c r="F60" s="51">
        <f t="shared" ca="1" si="7"/>
        <v>12.309260475070605</v>
      </c>
      <c r="G60" s="51">
        <f t="shared" ca="1" si="6"/>
        <v>12.309216660582882</v>
      </c>
      <c r="H60" s="51">
        <f t="shared" ca="1" si="6"/>
        <v>12.310897844612683</v>
      </c>
      <c r="I60" s="51">
        <f t="shared" ca="1" si="6"/>
        <v>12.312339397682496</v>
      </c>
      <c r="J60" s="51">
        <f ca="1">$E60+(RAND()-RAND())/100</f>
        <v>12.31222696141934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31"/>
      <c r="IV60" s="31"/>
      <c r="IW60" s="31"/>
      <c r="IX60" s="31"/>
      <c r="IY60" s="31"/>
      <c r="IZ60" s="31"/>
      <c r="JA60" s="31"/>
    </row>
    <row r="61" spans="2:261" s="41" customFormat="1" ht="21" x14ac:dyDescent="0.35">
      <c r="B61" s="43"/>
      <c r="C61" s="84"/>
      <c r="D61" s="50" t="str">
        <f t="shared" si="8"/>
        <v>F</v>
      </c>
      <c r="E61" s="20">
        <f ca="1">11+RAND()/80</f>
        <v>11.000700610054809</v>
      </c>
      <c r="F61" s="51">
        <f t="shared" ca="1" si="7"/>
        <v>11.000429467254691</v>
      </c>
      <c r="G61" s="51">
        <f t="shared" ca="1" si="6"/>
        <v>10.999103548893897</v>
      </c>
      <c r="H61" s="51">
        <f t="shared" ca="1" si="6"/>
        <v>11.000276002924043</v>
      </c>
      <c r="I61" s="51">
        <f t="shared" ca="1" si="6"/>
        <v>11.002881403096792</v>
      </c>
      <c r="J61" s="51">
        <f t="shared" ca="1" si="6"/>
        <v>11.002739206336731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31"/>
      <c r="IV61" s="31"/>
      <c r="IW61" s="31"/>
      <c r="IX61" s="31"/>
      <c r="IY61" s="31"/>
      <c r="IZ61" s="31"/>
      <c r="JA61" s="31"/>
    </row>
    <row r="62" spans="2:261" s="41" customFormat="1" ht="21" x14ac:dyDescent="0.35">
      <c r="B62" s="43"/>
      <c r="C62" s="84"/>
      <c r="D62" s="50" t="str">
        <f t="shared" si="8"/>
        <v/>
      </c>
      <c r="E62" s="20"/>
      <c r="F62" s="51"/>
      <c r="G62" s="51"/>
      <c r="H62" s="51"/>
      <c r="I62" s="51"/>
      <c r="J62" s="5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31"/>
      <c r="IV62" s="31"/>
      <c r="IW62" s="31"/>
      <c r="IX62" s="31"/>
      <c r="IY62" s="31"/>
      <c r="IZ62" s="31"/>
      <c r="JA62" s="31"/>
    </row>
    <row r="63" spans="2:261" s="41" customFormat="1" ht="21" x14ac:dyDescent="0.35">
      <c r="B63" s="43"/>
      <c r="C63" s="84"/>
      <c r="D63" s="50" t="str">
        <f t="shared" si="8"/>
        <v/>
      </c>
      <c r="E63" s="20"/>
      <c r="F63" s="51"/>
      <c r="G63" s="51"/>
      <c r="H63" s="51"/>
      <c r="I63" s="51"/>
      <c r="J63" s="5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31"/>
      <c r="IV63" s="31"/>
      <c r="IW63" s="31"/>
      <c r="IX63" s="31"/>
      <c r="IY63" s="31"/>
      <c r="IZ63" s="31"/>
      <c r="JA63" s="31"/>
    </row>
    <row r="64" spans="2:261" s="41" customFormat="1" ht="21" x14ac:dyDescent="0.35">
      <c r="B64" s="43"/>
      <c r="C64" s="84"/>
      <c r="D64" s="50" t="str">
        <f t="shared" si="8"/>
        <v/>
      </c>
      <c r="E64" s="20"/>
      <c r="F64" s="51"/>
      <c r="G64" s="51"/>
      <c r="H64" s="51"/>
      <c r="I64" s="51"/>
      <c r="J64" s="5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31"/>
      <c r="IV64" s="31"/>
      <c r="IW64" s="31"/>
      <c r="IX64" s="31"/>
      <c r="IY64" s="31"/>
      <c r="IZ64" s="31"/>
      <c r="JA64" s="31"/>
    </row>
    <row r="65" spans="1:261" s="41" customFormat="1" ht="21" x14ac:dyDescent="0.35">
      <c r="B65" s="43"/>
      <c r="C65" s="84"/>
      <c r="D65" s="50" t="str">
        <f t="shared" si="8"/>
        <v/>
      </c>
      <c r="E65" s="20"/>
      <c r="F65" s="51"/>
      <c r="G65" s="51"/>
      <c r="H65" s="51"/>
      <c r="I65" s="51"/>
      <c r="J65" s="51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31"/>
      <c r="IV65" s="31"/>
      <c r="IW65" s="31"/>
      <c r="IX65" s="31"/>
      <c r="IY65" s="31"/>
      <c r="IZ65" s="31"/>
      <c r="JA65" s="31"/>
    </row>
    <row r="66" spans="1:261" s="41" customFormat="1" ht="21" x14ac:dyDescent="0.35">
      <c r="B66" s="43"/>
      <c r="C66" s="84"/>
      <c r="D66" s="50" t="str">
        <f t="shared" si="8"/>
        <v/>
      </c>
      <c r="E66" s="20"/>
      <c r="F66" s="51"/>
      <c r="G66" s="51"/>
      <c r="H66" s="51"/>
      <c r="I66" s="51"/>
      <c r="J66" s="5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31"/>
      <c r="IV66" s="31"/>
      <c r="IW66" s="31"/>
      <c r="IX66" s="31"/>
      <c r="IY66" s="31"/>
      <c r="IZ66" s="31"/>
      <c r="JA66" s="31"/>
    </row>
    <row r="67" spans="1:261" s="41" customFormat="1" ht="21" x14ac:dyDescent="0.35">
      <c r="B67" s="43"/>
      <c r="C67" s="85"/>
      <c r="D67" s="53" t="str">
        <f t="shared" si="8"/>
        <v/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31"/>
      <c r="IV67" s="31"/>
      <c r="IW67" s="31"/>
      <c r="IX67" s="31"/>
      <c r="IY67" s="31"/>
      <c r="IZ67" s="31"/>
      <c r="JA67" s="31"/>
    </row>
    <row r="68" spans="1:261" s="41" customFormat="1" ht="21" x14ac:dyDescent="0.35">
      <c r="B68" s="43"/>
      <c r="C68" s="44"/>
      <c r="D68" s="45"/>
      <c r="E68" s="45"/>
      <c r="F68" s="45"/>
      <c r="G68" s="45"/>
      <c r="H68" s="46"/>
      <c r="I68" s="47"/>
      <c r="J68" s="48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</row>
    <row r="69" spans="1:261" s="1" customFormat="1" ht="21" x14ac:dyDescent="0.35">
      <c r="A69"/>
      <c r="B69" s="43"/>
    </row>
    <row r="70" spans="1:261" s="1" customFormat="1" ht="21" hidden="1" x14ac:dyDescent="0.35">
      <c r="A70"/>
      <c r="B70" s="43"/>
      <c r="C70" s="70" t="s">
        <v>43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2"/>
    </row>
    <row r="71" spans="1:261" s="1" customFormat="1" ht="21" hidden="1" x14ac:dyDescent="0.35">
      <c r="A71"/>
      <c r="B71" s="43"/>
      <c r="C71" s="101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3"/>
    </row>
    <row r="72" spans="1:261" s="1" customFormat="1" ht="21.75" hidden="1" thickBot="1" x14ac:dyDescent="0.4">
      <c r="A72"/>
      <c r="B72" s="43"/>
      <c r="C72" s="73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5"/>
    </row>
    <row r="73" spans="1:261" s="1" customFormat="1" ht="21" hidden="1" x14ac:dyDescent="0.35">
      <c r="A73"/>
      <c r="B73" s="43"/>
    </row>
    <row r="74" spans="1:261" s="1" customFormat="1" ht="21" hidden="1" x14ac:dyDescent="0.35">
      <c r="A74"/>
      <c r="B74" s="43"/>
      <c r="E74" s="104"/>
      <c r="F74" s="104"/>
      <c r="G74" s="104"/>
      <c r="H74" s="104"/>
      <c r="I74" s="104"/>
      <c r="J74" s="104"/>
      <c r="K74" s="104"/>
      <c r="L74" s="104"/>
      <c r="M74" s="105"/>
      <c r="N74" s="106" t="s">
        <v>44</v>
      </c>
      <c r="O74" s="106"/>
    </row>
    <row r="75" spans="1:261" s="1" customFormat="1" ht="21" hidden="1" x14ac:dyDescent="0.35">
      <c r="A75"/>
      <c r="B75" s="43"/>
      <c r="E75" s="13" t="s">
        <v>10</v>
      </c>
      <c r="F75" s="54" t="s">
        <v>45</v>
      </c>
      <c r="G75" s="15" t="s">
        <v>46</v>
      </c>
      <c r="H75" s="15" t="s">
        <v>47</v>
      </c>
      <c r="I75" s="15" t="s">
        <v>48</v>
      </c>
      <c r="J75" s="15" t="s">
        <v>49</v>
      </c>
      <c r="K75" s="15" t="s">
        <v>50</v>
      </c>
      <c r="L75" s="15" t="s">
        <v>51</v>
      </c>
      <c r="M75" s="15" t="s">
        <v>52</v>
      </c>
      <c r="N75" s="15" t="s">
        <v>53</v>
      </c>
      <c r="O75" s="15" t="s">
        <v>54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</row>
    <row r="76" spans="1:261" s="1" customFormat="1" ht="21" hidden="1" x14ac:dyDescent="0.35">
      <c r="A76"/>
      <c r="B76" s="43"/>
      <c r="E76" s="117" t="str">
        <f>Q12</f>
        <v>A</v>
      </c>
      <c r="F76" s="118">
        <f>IF(V12=$E$134,$E$148,IF(V12=$F$134,$F$148,IF(V12=$G$134,$G$148,IF(V12=$H$134,$H$148,IF(V12=$I$134,$I$148,IF(V12=$I$134,$I$148,IF(V12=$I$134,$I$148,IF(V12=$I$134,$I$148,IF(V12=$J$134,$J$148,IF(V12=$K$134,$K$148,IF(V12=$L$134,$L$148,IF(V12=$M$134,$M$148,IF(V12=$N$134,$N$148,IF(V12=$O$134,$O$148,IF(V12=$P$134,$P$148,IF(V12=$Q$134,$Q$148,IF(V12=$R$134,$R$148,IF(V12=$S$134,$S$148,$T$148))))))))))))))))))</f>
        <v>29.03</v>
      </c>
      <c r="G76" s="91">
        <f ca="1">SQRT(Z12^2+U12^2)</f>
        <v>1.320366002872746E-3</v>
      </c>
      <c r="H76" s="25">
        <f ca="1">IF(R12="U",(S12-Y12)/G76,(Y12-S12)/G76)</f>
        <v>1.2144895972405465</v>
      </c>
      <c r="I76" s="25">
        <f t="shared" ref="I76:I94" ca="1" si="9">(1-H76*SQRT(W$12)/(W$12-1))*0.5</f>
        <v>0.20251201888424086</v>
      </c>
      <c r="J76" s="120">
        <f>IF(W12=6,0.880496,IF(W12=9,1.230248,IF(W12=13,1.583745,IF(W12=18,1.937919,IF(W12=25,2.346014,IF(W12=35,2.828887,IF(W12=50,3.428086,IF(W12=70,4.092828,IF(W12=95,4.795926,IF(W12=125,5.522742,IF(W12=160,6.265024,IF(W12=200,7.017865,IF(W12=250,7.858138,"")))))))))))))</f>
        <v>0.88049599999999995</v>
      </c>
      <c r="K76" s="25">
        <f t="shared" ref="K76:K94" ca="1" si="10">IF(I76&lt;0,-8,J$76*LN(I76/(1-I76)))</f>
        <v>-1.2068672744519917</v>
      </c>
      <c r="L76" s="25">
        <f t="shared" ref="L76:L94" ca="1" si="11">K76^2-3</f>
        <v>-1.5434713818568209</v>
      </c>
      <c r="M76" s="25">
        <f t="shared" ref="M76:M94" ca="1" si="12">IF(L76&gt;0,(12*(W$12-1)*K76)/(12*(W$12-1)+L76),(12*(W$12-2)*K76)/(12*(W$12-2)+L76))</f>
        <v>-1.246964224336635</v>
      </c>
      <c r="N76" s="55">
        <f t="shared" ref="N76:N94" ca="1" si="13">NORMSDIST(M76)</f>
        <v>0.1062053078443045</v>
      </c>
      <c r="O76" s="121">
        <f ca="1">N76+N77</f>
        <v>0.1062417081715034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</row>
    <row r="77" spans="1:261" s="1" customFormat="1" ht="21" hidden="1" x14ac:dyDescent="0.35">
      <c r="A77"/>
      <c r="B77" s="43"/>
      <c r="E77" s="117"/>
      <c r="F77" s="119"/>
      <c r="G77" s="91"/>
      <c r="H77" s="25">
        <f ca="1">IF(R13="U",(S13-Y12)/G76,(Y12-S13)/G76)</f>
        <v>59.374771127392428</v>
      </c>
      <c r="I77" s="25">
        <f t="shared" ca="1" si="9"/>
        <v>-14.043789285664653</v>
      </c>
      <c r="J77" s="120"/>
      <c r="K77" s="25">
        <f t="shared" ca="1" si="10"/>
        <v>-8</v>
      </c>
      <c r="L77" s="25">
        <f t="shared" ca="1" si="11"/>
        <v>61</v>
      </c>
      <c r="M77" s="25">
        <f t="shared" ca="1" si="12"/>
        <v>-3.9669421487603307</v>
      </c>
      <c r="N77" s="55">
        <f t="shared" ca="1" si="13"/>
        <v>3.6400327198895288E-5</v>
      </c>
      <c r="O77" s="121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</row>
    <row r="78" spans="1:261" s="1" customFormat="1" ht="21" hidden="1" x14ac:dyDescent="0.35">
      <c r="A78"/>
      <c r="B78" s="43"/>
      <c r="E78" s="117" t="str">
        <f>Q14</f>
        <v>B</v>
      </c>
      <c r="F78" s="118">
        <f>IF(V14=$E$134,$E$148,IF(V14=$F$134,$F$148,IF(V14=$G$134,$G$148,IF(V14=$H$134,$H$148,IF(V14=$I$134,$I$148,IF(V14=$I$134,$I$148,IF(V14=$I$134,$I$148,IF(V14=$I$134,$I$148,IF(V14=$J$134,$J$148,IF(V14=$K$134,$K$148,IF(V14=$L$134,$L$148,IF(V14=$M$134,$M$148,IF(V14=$N$134,$N$148,IF(V14=$O$134,$O$148,IF(V14=$P$134,$P$148,IF(V14=$Q$134,$Q$148,IF(V14=$R$134,$R$148,IF(V14=$S$134,$S$148,$T$148))))))))))))))))))</f>
        <v>9.2460000000000004</v>
      </c>
      <c r="G78" s="91">
        <f ca="1">SQRT(Z14^2+U14^2)</f>
        <v>3.9011294485387905E-3</v>
      </c>
      <c r="H78" s="25">
        <f ca="1">IF(R14="U",(S14-Y14)/G78,(Y14-S14)/G78)</f>
        <v>5.5527120861600494</v>
      </c>
      <c r="I78" s="25">
        <f t="shared" ca="1" si="9"/>
        <v>-0.86013112996772234</v>
      </c>
      <c r="J78" s="120"/>
      <c r="K78" s="25">
        <f t="shared" ca="1" si="10"/>
        <v>-8</v>
      </c>
      <c r="L78" s="25">
        <f t="shared" ca="1" si="11"/>
        <v>61</v>
      </c>
      <c r="M78" s="25">
        <f t="shared" ca="1" si="12"/>
        <v>-3.9669421487603307</v>
      </c>
      <c r="N78" s="55">
        <f t="shared" ca="1" si="13"/>
        <v>3.6400327198895288E-5</v>
      </c>
      <c r="O78" s="121">
        <f ca="1">N78+N79</f>
        <v>7.2800654397790575E-5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</row>
    <row r="79" spans="1:261" s="1" customFormat="1" ht="21" hidden="1" x14ac:dyDescent="0.35">
      <c r="A79"/>
      <c r="B79" s="43"/>
      <c r="E79" s="117"/>
      <c r="F79" s="119"/>
      <c r="G79" s="91"/>
      <c r="H79" s="25">
        <f ca="1">IF(R15="U",(S15-Y14)/G78,(Y14-S15)/G78)</f>
        <v>7.2640889607082473</v>
      </c>
      <c r="I79" s="25">
        <f t="shared" ca="1" si="9"/>
        <v>-1.2793311399919367</v>
      </c>
      <c r="J79" s="120"/>
      <c r="K79" s="25">
        <f t="shared" ca="1" si="10"/>
        <v>-8</v>
      </c>
      <c r="L79" s="25">
        <f t="shared" ca="1" si="11"/>
        <v>61</v>
      </c>
      <c r="M79" s="25">
        <f t="shared" ca="1" si="12"/>
        <v>-3.9669421487603307</v>
      </c>
      <c r="N79" s="55">
        <f t="shared" ca="1" si="13"/>
        <v>3.6400327198895288E-5</v>
      </c>
      <c r="O79" s="121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</row>
    <row r="80" spans="1:261" s="1" customFormat="1" ht="21" hidden="1" x14ac:dyDescent="0.35">
      <c r="A80"/>
      <c r="B80" s="43"/>
      <c r="E80" s="117" t="str">
        <f>Q16</f>
        <v>C</v>
      </c>
      <c r="F80" s="118">
        <f>IF(V16=$E$134,$E$148,IF(V16=$F$134,$F$148,IF(V16=$G$134,$G$148,IF(V16=$H$134,$H$148,IF(V16=$I$134,$I$148,IF(V16=$I$134,$I$148,IF(V16=$I$134,$I$148,IF(V16=$I$134,$I$148,IF(V16=$J$134,$J$148,IF(V16=$K$134,$K$148,IF(V16=$L$134,$L$148,IF(V16=$M$134,$M$148,IF(V16=$N$134,$N$148,IF(V16=$O$134,$O$148,IF(V16=$P$134,$P$148,IF(V16=$Q$134,$Q$148,IF(V16=$R$134,$R$148,IF(V16=$S$134,$S$148,$T$148))))))))))))))))))</f>
        <v>0.40210000000000001</v>
      </c>
      <c r="G80" s="91">
        <f ca="1">SQRT(Z16^2+U16^2)</f>
        <v>5.0782552502095192E-3</v>
      </c>
      <c r="H80" s="25">
        <f ca="1">IF(R16="U",(S16-Y16)/G80,(Y16-S16)/G80)</f>
        <v>19.577521347805369</v>
      </c>
      <c r="I80" s="25">
        <f t="shared" ca="1" si="9"/>
        <v>-4.295493773056795</v>
      </c>
      <c r="J80" s="120"/>
      <c r="K80" s="25">
        <f t="shared" ca="1" si="10"/>
        <v>-8</v>
      </c>
      <c r="L80" s="25">
        <f t="shared" ca="1" si="11"/>
        <v>61</v>
      </c>
      <c r="M80" s="25">
        <f t="shared" ca="1" si="12"/>
        <v>-3.9669421487603307</v>
      </c>
      <c r="N80" s="55">
        <f t="shared" ca="1" si="13"/>
        <v>3.6400327198895288E-5</v>
      </c>
      <c r="O80" s="121">
        <f ca="1">N80+N81</f>
        <v>7.2800654397790575E-5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</row>
    <row r="81" spans="1:261" s="1" customFormat="1" ht="21" hidden="1" x14ac:dyDescent="0.35">
      <c r="A81"/>
      <c r="B81" s="43"/>
      <c r="E81" s="117"/>
      <c r="F81" s="119"/>
      <c r="G81" s="91"/>
      <c r="H81" s="25">
        <f ca="1">IF(R17="U",(S17-Y16)/G80,(Y16-S17)/G80)</f>
        <v>19.806083876005331</v>
      </c>
      <c r="I81" s="25">
        <f t="shared" ca="1" si="9"/>
        <v>-4.3514799298978346</v>
      </c>
      <c r="J81" s="120"/>
      <c r="K81" s="25">
        <f t="shared" ca="1" si="10"/>
        <v>-8</v>
      </c>
      <c r="L81" s="25">
        <f t="shared" ca="1" si="11"/>
        <v>61</v>
      </c>
      <c r="M81" s="25">
        <f t="shared" ca="1" si="12"/>
        <v>-3.9669421487603307</v>
      </c>
      <c r="N81" s="55">
        <f t="shared" ca="1" si="13"/>
        <v>3.6400327198895288E-5</v>
      </c>
      <c r="O81" s="12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</row>
    <row r="82" spans="1:261" s="1" customFormat="1" ht="21" hidden="1" x14ac:dyDescent="0.35">
      <c r="A82"/>
      <c r="B82" s="43"/>
      <c r="E82" s="117" t="str">
        <f>Q18</f>
        <v>D</v>
      </c>
      <c r="F82" s="118">
        <f>IF(V18=$E$134,$E$148,IF(V18=$F$134,$F$148,IF(V18=$G$134,$G$148,IF(V18=$H$134,$H$148,IF(V18=$I$134,$I$148,IF(V18=$I$134,$I$148,IF(V18=$I$134,$I$148,IF(V18=$I$134,$I$148,IF(V18=$J$134,$J$148,IF(V18=$K$134,$K$148,IF(V18=$L$134,$L$148,IF(V18=$M$134,$M$148,IF(V18=$N$134,$N$148,IF(V18=$O$134,$O$148,IF(V18=$P$134,$P$148,IF(V18=$Q$134,$Q$148,IF(V18=$R$134,$R$148,IF(V18=$S$134,$S$148,$T$148))))))))))))))))))</f>
        <v>29.03</v>
      </c>
      <c r="G82" s="91" t="e">
        <f>SQRT(Z18^2+U18^2)</f>
        <v>#VALUE!</v>
      </c>
      <c r="H82" s="25" t="e">
        <f>IF(R18="U",(S18-Y18)/G82,(Y18-S18)/G82)</f>
        <v>#VALUE!</v>
      </c>
      <c r="I82" s="25" t="e">
        <f t="shared" si="9"/>
        <v>#VALUE!</v>
      </c>
      <c r="J82" s="120"/>
      <c r="K82" s="25" t="e">
        <f t="shared" si="10"/>
        <v>#VALUE!</v>
      </c>
      <c r="L82" s="25" t="e">
        <f t="shared" si="11"/>
        <v>#VALUE!</v>
      </c>
      <c r="M82" s="25" t="e">
        <f t="shared" si="12"/>
        <v>#VALUE!</v>
      </c>
      <c r="N82" s="55" t="e">
        <f t="shared" si="13"/>
        <v>#VALUE!</v>
      </c>
      <c r="O82" s="121" t="e">
        <f>N82+N83</f>
        <v>#VALUE!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</row>
    <row r="83" spans="1:261" s="1" customFormat="1" ht="21" hidden="1" x14ac:dyDescent="0.35">
      <c r="A83"/>
      <c r="B83" s="43"/>
      <c r="E83" s="117"/>
      <c r="F83" s="119"/>
      <c r="G83" s="91"/>
      <c r="H83" s="25" t="e">
        <f>IF(R19="U",(S19-Y18)/G82,(Y18-S19)/G82)</f>
        <v>#VALUE!</v>
      </c>
      <c r="I83" s="25" t="e">
        <f t="shared" si="9"/>
        <v>#VALUE!</v>
      </c>
      <c r="J83" s="120"/>
      <c r="K83" s="25" t="e">
        <f t="shared" si="10"/>
        <v>#VALUE!</v>
      </c>
      <c r="L83" s="25" t="e">
        <f t="shared" si="11"/>
        <v>#VALUE!</v>
      </c>
      <c r="M83" s="25" t="e">
        <f t="shared" si="12"/>
        <v>#VALUE!</v>
      </c>
      <c r="N83" s="55" t="e">
        <f t="shared" si="13"/>
        <v>#VALUE!</v>
      </c>
      <c r="O83" s="121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</row>
    <row r="84" spans="1:261" s="1" customFormat="1" ht="21" hidden="1" x14ac:dyDescent="0.35">
      <c r="A84"/>
      <c r="B84" s="43"/>
      <c r="E84" s="117" t="str">
        <f>Q20</f>
        <v>E</v>
      </c>
      <c r="F84" s="118">
        <f>IF(V20=$E$134,$E$148,IF(V20=$F$134,$F$148,IF(V20=$G$134,$G$148,IF(V20=$H$134,$H$148,IF(V20=$I$134,$I$148,IF(V20=$I$134,$I$148,IF(V20=$I$134,$I$148,IF(V20=$I$134,$I$148,IF(V20=$J$134,$J$148,IF(V20=$K$134,$K$148,IF(V20=$L$134,$L$148,IF(V20=$M$134,$M$148,IF(V20=$N$134,$N$148,IF(V20=$O$134,$O$148,IF(V20=$P$134,$P$148,IF(V20=$Q$134,$Q$148,IF(V20=$R$134,$R$148,IF(V20=$S$134,$S$148,$T$148))))))))))))))))))</f>
        <v>29.03</v>
      </c>
      <c r="G84" s="91" t="e">
        <f>SQRT(Z20^2+U20^2)</f>
        <v>#VALUE!</v>
      </c>
      <c r="H84" s="25" t="e">
        <f>IF(R20="U",(S20-Y20)/G84,(Y20-S20)/G84)</f>
        <v>#VALUE!</v>
      </c>
      <c r="I84" s="25" t="e">
        <f t="shared" si="9"/>
        <v>#VALUE!</v>
      </c>
      <c r="J84" s="120"/>
      <c r="K84" s="25" t="e">
        <f t="shared" si="10"/>
        <v>#VALUE!</v>
      </c>
      <c r="L84" s="25" t="e">
        <f t="shared" si="11"/>
        <v>#VALUE!</v>
      </c>
      <c r="M84" s="25" t="e">
        <f t="shared" si="12"/>
        <v>#VALUE!</v>
      </c>
      <c r="N84" s="55" t="e">
        <f t="shared" si="13"/>
        <v>#VALUE!</v>
      </c>
      <c r="O84" s="121" t="e">
        <f>N84+N85</f>
        <v>#VALUE!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</row>
    <row r="85" spans="1:261" s="1" customFormat="1" ht="21" hidden="1" x14ac:dyDescent="0.35">
      <c r="A85"/>
      <c r="B85" s="43"/>
      <c r="E85" s="117"/>
      <c r="F85" s="119"/>
      <c r="G85" s="91"/>
      <c r="H85" s="25" t="e">
        <f>IF(R21="U",(S21-Y20)/G84,(Y20-S21)/G84)</f>
        <v>#VALUE!</v>
      </c>
      <c r="I85" s="25" t="e">
        <f t="shared" si="9"/>
        <v>#VALUE!</v>
      </c>
      <c r="J85" s="120"/>
      <c r="K85" s="25" t="e">
        <f t="shared" si="10"/>
        <v>#VALUE!</v>
      </c>
      <c r="L85" s="25" t="e">
        <f t="shared" si="11"/>
        <v>#VALUE!</v>
      </c>
      <c r="M85" s="25" t="e">
        <f t="shared" si="12"/>
        <v>#VALUE!</v>
      </c>
      <c r="N85" s="55" t="e">
        <f t="shared" si="13"/>
        <v>#VALUE!</v>
      </c>
      <c r="O85" s="121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</row>
    <row r="86" spans="1:261" s="1" customFormat="1" ht="21" hidden="1" x14ac:dyDescent="0.35">
      <c r="A86"/>
      <c r="B86" s="43"/>
      <c r="E86" s="117" t="str">
        <f>Q22</f>
        <v>F</v>
      </c>
      <c r="F86" s="118">
        <f>IF(V22=$E$134,$E$148,IF(V22=$F$134,$F$148,IF(V22=$G$134,$G$148,IF(V22=$H$134,$H$148,IF(V22=$I$134,$I$148,IF(V22=$I$134,$I$148,IF(V22=$I$134,$I$148,IF(V22=$I$134,$I$148,IF(V22=$J$134,$J$148,IF(V22=$K$134,$K$148,IF(V22=$L$134,$L$148,IF(V22=$M$134,$M$148,IF(V22=$N$134,$N$148,IF(V22=$O$134,$O$148,IF(V22=$P$134,$P$148,IF(V22=$Q$134,$Q$148,IF(V22=$R$134,$R$148,IF(V22=$S$134,$S$148,$T$148))))))))))))))))))</f>
        <v>29.03</v>
      </c>
      <c r="G86" s="91" t="e">
        <f>SQRT(Z22^2+U22^2)</f>
        <v>#VALUE!</v>
      </c>
      <c r="H86" s="25" t="e">
        <f>IF(R22="U",(S22-Y22)/G86,(Y22-S22)/G86)</f>
        <v>#VALUE!</v>
      </c>
      <c r="I86" s="25" t="e">
        <f t="shared" si="9"/>
        <v>#VALUE!</v>
      </c>
      <c r="J86" s="120"/>
      <c r="K86" s="25" t="e">
        <f t="shared" si="10"/>
        <v>#VALUE!</v>
      </c>
      <c r="L86" s="25" t="e">
        <f t="shared" si="11"/>
        <v>#VALUE!</v>
      </c>
      <c r="M86" s="25" t="e">
        <f t="shared" si="12"/>
        <v>#VALUE!</v>
      </c>
      <c r="N86" s="55" t="e">
        <f t="shared" si="13"/>
        <v>#VALUE!</v>
      </c>
      <c r="O86" s="121" t="e">
        <f>N86+N87</f>
        <v>#VALUE!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</row>
    <row r="87" spans="1:261" s="1" customFormat="1" ht="21" hidden="1" x14ac:dyDescent="0.35">
      <c r="A87"/>
      <c r="B87" s="43"/>
      <c r="E87" s="117"/>
      <c r="F87" s="119"/>
      <c r="G87" s="91"/>
      <c r="H87" s="25" t="e">
        <f>IF(R23="U",(S23-Y22)/G86,(Y22-S23)/G86)</f>
        <v>#VALUE!</v>
      </c>
      <c r="I87" s="25" t="e">
        <f t="shared" si="9"/>
        <v>#VALUE!</v>
      </c>
      <c r="J87" s="120"/>
      <c r="K87" s="25" t="e">
        <f t="shared" si="10"/>
        <v>#VALUE!</v>
      </c>
      <c r="L87" s="25" t="e">
        <f t="shared" si="11"/>
        <v>#VALUE!</v>
      </c>
      <c r="M87" s="25" t="e">
        <f t="shared" si="12"/>
        <v>#VALUE!</v>
      </c>
      <c r="N87" s="55" t="e">
        <f t="shared" si="13"/>
        <v>#VALUE!</v>
      </c>
      <c r="O87" s="121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</row>
    <row r="88" spans="1:261" s="1" customFormat="1" ht="21" hidden="1" x14ac:dyDescent="0.35">
      <c r="A88"/>
      <c r="B88" s="43"/>
      <c r="E88" s="117" t="str">
        <f>Q24</f>
        <v>G</v>
      </c>
      <c r="F88" s="118">
        <f>IF(V24=$E$134,$E$148,IF(V24=$F$134,$F$148,IF(V24=$G$134,$G$148,IF(V24=$H$134,$H$148,IF(V24=$I$134,$I$148,IF(V24=$I$134,$I$148,IF(V24=$I$134,$I$148,IF(V24=$I$134,$I$148,IF(V24=$J$134,$J$148,IF(V24=$K$134,$K$148,IF(V24=$L$134,$L$148,IF(V24=$M$134,$M$148,IF(V24=$N$134,$N$148,IF(V24=$O$134,$O$148,IF(V24=$P$134,$P$148,IF(V24=$Q$134,$Q$148,IF(V24=$R$134,$R$148,IF(V24=$S$134,$S$148,$T$148))))))))))))))))))</f>
        <v>29.03</v>
      </c>
      <c r="G88" s="91" t="e">
        <f>SQRT(Z24^2+U24^2)</f>
        <v>#VALUE!</v>
      </c>
      <c r="H88" s="25" t="e">
        <f>IF(R24="U",(S24-Y24)/G88,(Y24-S24)/G88)</f>
        <v>#VALUE!</v>
      </c>
      <c r="I88" s="25" t="e">
        <f t="shared" si="9"/>
        <v>#VALUE!</v>
      </c>
      <c r="J88" s="120"/>
      <c r="K88" s="25" t="e">
        <f t="shared" si="10"/>
        <v>#VALUE!</v>
      </c>
      <c r="L88" s="25" t="e">
        <f t="shared" si="11"/>
        <v>#VALUE!</v>
      </c>
      <c r="M88" s="25" t="e">
        <f t="shared" si="12"/>
        <v>#VALUE!</v>
      </c>
      <c r="N88" s="55" t="e">
        <f t="shared" si="13"/>
        <v>#VALUE!</v>
      </c>
      <c r="O88" s="121" t="e">
        <f>N88+N89</f>
        <v>#VALUE!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</row>
    <row r="89" spans="1:261" s="1" customFormat="1" ht="21" hidden="1" x14ac:dyDescent="0.35">
      <c r="A89"/>
      <c r="B89" s="43"/>
      <c r="E89" s="117"/>
      <c r="F89" s="119"/>
      <c r="G89" s="91"/>
      <c r="H89" s="25" t="e">
        <f>IF(R25="U",(S25-Y24)/G88,(Y24-S25)/G88)</f>
        <v>#VALUE!</v>
      </c>
      <c r="I89" s="25" t="e">
        <f t="shared" si="9"/>
        <v>#VALUE!</v>
      </c>
      <c r="J89" s="120"/>
      <c r="K89" s="25" t="e">
        <f t="shared" si="10"/>
        <v>#VALUE!</v>
      </c>
      <c r="L89" s="25" t="e">
        <f t="shared" si="11"/>
        <v>#VALUE!</v>
      </c>
      <c r="M89" s="25" t="e">
        <f t="shared" si="12"/>
        <v>#VALUE!</v>
      </c>
      <c r="N89" s="55" t="e">
        <f t="shared" si="13"/>
        <v>#VALUE!</v>
      </c>
      <c r="O89" s="121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</row>
    <row r="90" spans="1:261" s="1" customFormat="1" ht="21" hidden="1" x14ac:dyDescent="0.35">
      <c r="A90"/>
      <c r="B90" s="43"/>
      <c r="E90" s="117" t="str">
        <f>Q26</f>
        <v>H</v>
      </c>
      <c r="F90" s="118">
        <f>IF(V26=$E$134,$E$148,IF(V26=$F$134,$F$148,IF(V26=$G$134,$G$148,IF(V26=$H$134,$H$148,IF(V26=$I$134,$I$148,IF(V26=$I$134,$I$148,IF(V26=$I$134,$I$148,IF(V26=$I$134,$I$148,IF(V26=$J$134,$J$148,IF(V26=$K$134,$K$148,IF(V26=$L$134,$L$148,IF(V26=$M$134,$M$148,IF(V26=$N$134,$N$148,IF(V26=$O$134,$O$148,IF(V26=$P$134,$P$148,IF(V26=$Q$134,$Q$148,IF(V26=$R$134,$R$148,IF(V26=$S$134,$S$148,$T$148))))))))))))))))))</f>
        <v>29.03</v>
      </c>
      <c r="G90" s="91" t="e">
        <f>SQRT(Z26^2+U26^2)</f>
        <v>#VALUE!</v>
      </c>
      <c r="H90" s="25" t="e">
        <f>IF(R26="U",(S26-Y26)/G90,(Y26-S26)/G90)</f>
        <v>#VALUE!</v>
      </c>
      <c r="I90" s="25" t="e">
        <f t="shared" si="9"/>
        <v>#VALUE!</v>
      </c>
      <c r="J90" s="120"/>
      <c r="K90" s="25" t="e">
        <f t="shared" si="10"/>
        <v>#VALUE!</v>
      </c>
      <c r="L90" s="25" t="e">
        <f t="shared" si="11"/>
        <v>#VALUE!</v>
      </c>
      <c r="M90" s="25" t="e">
        <f t="shared" si="12"/>
        <v>#VALUE!</v>
      </c>
      <c r="N90" s="55" t="e">
        <f t="shared" si="13"/>
        <v>#VALUE!</v>
      </c>
      <c r="O90" s="121" t="e">
        <f>N90+N91</f>
        <v>#VALUE!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</row>
    <row r="91" spans="1:261" s="1" customFormat="1" ht="21" hidden="1" x14ac:dyDescent="0.35">
      <c r="A91"/>
      <c r="B91" s="43"/>
      <c r="E91" s="117"/>
      <c r="F91" s="119"/>
      <c r="G91" s="91"/>
      <c r="H91" s="25" t="e">
        <f>IF(R27="U",(S27-Y26)/G90,(Y26-S27)/G90)</f>
        <v>#VALUE!</v>
      </c>
      <c r="I91" s="25" t="e">
        <f t="shared" si="9"/>
        <v>#VALUE!</v>
      </c>
      <c r="J91" s="120"/>
      <c r="K91" s="25" t="e">
        <f t="shared" si="10"/>
        <v>#VALUE!</v>
      </c>
      <c r="L91" s="25" t="e">
        <f t="shared" si="11"/>
        <v>#VALUE!</v>
      </c>
      <c r="M91" s="25" t="e">
        <f t="shared" si="12"/>
        <v>#VALUE!</v>
      </c>
      <c r="N91" s="55" t="e">
        <f t="shared" si="13"/>
        <v>#VALUE!</v>
      </c>
      <c r="O91" s="12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</row>
    <row r="92" spans="1:261" s="1" customFormat="1" ht="21" hidden="1" x14ac:dyDescent="0.35">
      <c r="A92"/>
      <c r="B92" s="43"/>
      <c r="E92" s="117" t="str">
        <f>Q28</f>
        <v>I</v>
      </c>
      <c r="F92" s="118">
        <f>IF(V28=$E$134,$E$148,IF(V28=$F$134,$F$148,IF(V28=$G$134,$G$148,IF(V28=$H$134,$H$148,IF(V28=$I$134,$I$148,IF(V28=$I$134,$I$148,IF(V28=$I$134,$I$148,IF(V28=$I$134,$I$148,IF(V28=$J$134,$J$148,IF(V28=$K$134,$K$148,IF(V28=$L$134,$L$148,IF(V28=$M$134,$M$148,IF(V28=$N$134,$N$148,IF(V28=$O$134,$O$148,IF(V28=$P$134,$P$148,IF(V28=$Q$134,$Q$148,IF(V28=$R$134,$R$148,IF(V28=$S$134,$S$148,$T$148))))))))))))))))))</f>
        <v>29.03</v>
      </c>
      <c r="G92" s="91" t="e">
        <f>SQRT(Z28^2+U28^2)</f>
        <v>#VALUE!</v>
      </c>
      <c r="H92" s="25" t="e">
        <f>IF(R28="U",(S28-Y28)/G92,(Y28-S28)/G92)</f>
        <v>#VALUE!</v>
      </c>
      <c r="I92" s="25" t="e">
        <f t="shared" si="9"/>
        <v>#VALUE!</v>
      </c>
      <c r="J92" s="120"/>
      <c r="K92" s="25" t="e">
        <f t="shared" si="10"/>
        <v>#VALUE!</v>
      </c>
      <c r="L92" s="25" t="e">
        <f t="shared" si="11"/>
        <v>#VALUE!</v>
      </c>
      <c r="M92" s="25" t="e">
        <f t="shared" si="12"/>
        <v>#VALUE!</v>
      </c>
      <c r="N92" s="55" t="e">
        <f t="shared" si="13"/>
        <v>#VALUE!</v>
      </c>
      <c r="O92" s="121" t="e">
        <f>N92+N93</f>
        <v>#VALUE!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</row>
    <row r="93" spans="1:261" s="1" customFormat="1" ht="21" hidden="1" x14ac:dyDescent="0.35">
      <c r="A93"/>
      <c r="B93" s="43"/>
      <c r="E93" s="117"/>
      <c r="F93" s="119"/>
      <c r="G93" s="91"/>
      <c r="H93" s="25" t="e">
        <f>IF(R29="U",(S29-Y28)/G92,(Y28-S29)/G92)</f>
        <v>#VALUE!</v>
      </c>
      <c r="I93" s="25" t="e">
        <f t="shared" si="9"/>
        <v>#VALUE!</v>
      </c>
      <c r="J93" s="120"/>
      <c r="K93" s="25" t="e">
        <f t="shared" si="10"/>
        <v>#VALUE!</v>
      </c>
      <c r="L93" s="25" t="e">
        <f t="shared" si="11"/>
        <v>#VALUE!</v>
      </c>
      <c r="M93" s="25" t="e">
        <f t="shared" si="12"/>
        <v>#VALUE!</v>
      </c>
      <c r="N93" s="55" t="e">
        <f t="shared" si="13"/>
        <v>#VALUE!</v>
      </c>
      <c r="O93" s="121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</row>
    <row r="94" spans="1:261" s="1" customFormat="1" ht="21" hidden="1" x14ac:dyDescent="0.35">
      <c r="A94"/>
      <c r="B94" s="43"/>
      <c r="E94" s="18" t="str">
        <f>Q30</f>
        <v>D</v>
      </c>
      <c r="F94" s="57">
        <f>IF(V30=$E$134,$E$148,IF(V30=$F$134,$F$148,IF(V30=$G$134,$G$148,IF(V30=$H$134,$H$148,IF(V30=$I$134,$I$148,IF(V30=$I$134,$I$148,IF(V30=$I$134,$I$148,IF(V30=$I$134,$I$148,IF(V30=$J$134,$J$148,IF(V30=$K$134,$K$148,IF(V30=$L$134,$L$148,IF(V30=$M$134,$M$148,IF(V30=$N$134,$N$148,IF(V30=$O$134,$O$148,IF(V30=$P$134,$P$148,IF(V30=$Q$134,$Q$148,IF(V30=$R$134,$R$148,IF(V30=$S$134,$S$148,$T$148))))))))))))))))))</f>
        <v>0.40210000000000001</v>
      </c>
      <c r="G94" s="58">
        <f ca="1">SQRT(Z30^2+U30^2)</f>
        <v>3.0692925089458138E-3</v>
      </c>
      <c r="H94" s="25">
        <f ca="1">IF(R30="U",(S30-Y30)/G94,(Y30-S30)/G94)</f>
        <v>65.00611690908093</v>
      </c>
      <c r="I94" s="25">
        <f t="shared" ca="1" si="9"/>
        <v>-15.423181658695786</v>
      </c>
      <c r="J94" s="120"/>
      <c r="K94" s="25">
        <f t="shared" ca="1" si="10"/>
        <v>-8</v>
      </c>
      <c r="L94" s="25">
        <f t="shared" ca="1" si="11"/>
        <v>61</v>
      </c>
      <c r="M94" s="25">
        <f t="shared" ca="1" si="12"/>
        <v>-3.9669421487603307</v>
      </c>
      <c r="N94" s="55">
        <f t="shared" ca="1" si="13"/>
        <v>3.6400327198895288E-5</v>
      </c>
      <c r="O94" s="55">
        <f ca="1">N94</f>
        <v>3.6400327198895288E-5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</row>
    <row r="95" spans="1:261" s="1" customFormat="1" ht="21" hidden="1" x14ac:dyDescent="0.35">
      <c r="A95"/>
      <c r="B95" s="43"/>
      <c r="E95" s="18" t="str">
        <f t="shared" ref="E95:E102" si="14">Q31</f>
        <v>E</v>
      </c>
      <c r="F95" s="57">
        <f t="shared" ref="F95:F102" si="15">IF(V31=$E$134,$E$148,IF(V31=$F$134,$F$148,IF(V31=$G$134,$G$148,IF(V31=$H$134,$H$148,IF(V31=$I$134,$I$148,IF(V31=$I$134,$I$148,IF(V31=$I$134,$I$148,IF(V31=$I$134,$I$148,IF(V31=$J$134,$J$148,IF(V31=$K$134,$K$148,IF(V31=$L$134,$L$148,IF(V31=$M$134,$M$148,IF(V31=$N$134,$N$148,IF(V31=$O$134,$O$148,IF(V31=$P$134,$P$148,IF(V31=$Q$134,$Q$148,IF(V31=$R$134,$R$148,IF(V31=$S$134,$S$148,$T$148))))))))))))))))))</f>
        <v>29.03</v>
      </c>
      <c r="G95" s="58">
        <f t="shared" ref="G95:G102" ca="1" si="16">SQRT(Z31^2+U31^2)</f>
        <v>2.0822640265729655E-3</v>
      </c>
      <c r="H95" s="25">
        <f t="shared" ref="H95:H102" ca="1" si="17">IF(R31="U",(S31-Y31)/G95,(Y31-S31)/G95)</f>
        <v>149.16147538142894</v>
      </c>
      <c r="I95" s="25">
        <f t="shared" ref="I95:I102" ca="1" si="18">(1-H95*SQRT(W$12)/(W$12-1))*0.5</f>
        <v>-36.036950396521569</v>
      </c>
      <c r="J95" s="120"/>
      <c r="K95" s="25">
        <f t="shared" ref="K95:K102" ca="1" si="19">IF(I95&lt;0,-8,J$76*LN(I95/(1-I95)))</f>
        <v>-8</v>
      </c>
      <c r="L95" s="25">
        <f t="shared" ref="L95:L102" ca="1" si="20">K95^2-3</f>
        <v>61</v>
      </c>
      <c r="M95" s="25">
        <f t="shared" ref="M95:M102" ca="1" si="21">IF(L95&gt;0,(12*(W$12-1)*K95)/(12*(W$12-1)+L95),(12*(W$12-2)*K95)/(12*(W$12-2)+L95))</f>
        <v>-3.9669421487603307</v>
      </c>
      <c r="N95" s="56">
        <f t="shared" ref="N95:N102" ca="1" si="22">NORMSDIST(M95)</f>
        <v>3.6400327198895288E-5</v>
      </c>
      <c r="O95" s="56">
        <f t="shared" ref="O95:O102" ca="1" si="23">N95</f>
        <v>3.6400327198895288E-5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</row>
    <row r="96" spans="1:261" s="1" customFormat="1" ht="21" hidden="1" x14ac:dyDescent="0.35">
      <c r="A96"/>
      <c r="B96" s="43"/>
      <c r="E96" s="18" t="str">
        <f t="shared" si="14"/>
        <v>F</v>
      </c>
      <c r="F96" s="57">
        <f t="shared" si="15"/>
        <v>9.2460000000000004</v>
      </c>
      <c r="G96" s="58">
        <f t="shared" ca="1" si="16"/>
        <v>2.114120611371742E-3</v>
      </c>
      <c r="H96" s="25">
        <f t="shared" ca="1" si="17"/>
        <v>0.48327726494428996</v>
      </c>
      <c r="I96" s="25">
        <f t="shared" ca="1" si="18"/>
        <v>0.38162172965986535</v>
      </c>
      <c r="J96" s="120"/>
      <c r="K96" s="25">
        <f ca="1">IF(I96&lt;0,-8,J$76*LN(I96/(1-I96)))</f>
        <v>-0.42498942399193929</v>
      </c>
      <c r="L96" s="25">
        <f t="shared" ca="1" si="20"/>
        <v>-2.8193839894949995</v>
      </c>
      <c r="M96" s="25">
        <f t="shared" ca="1" si="21"/>
        <v>-0.45150983215611701</v>
      </c>
      <c r="N96" s="56">
        <f t="shared" ca="1" si="22"/>
        <v>0.32581107016900901</v>
      </c>
      <c r="O96" s="56">
        <f t="shared" ca="1" si="23"/>
        <v>0.32581107016900901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</row>
    <row r="97" spans="1:261" s="1" customFormat="1" ht="21" hidden="1" x14ac:dyDescent="0.35">
      <c r="A97"/>
      <c r="B97" s="43"/>
      <c r="E97" s="18">
        <f t="shared" si="14"/>
        <v>0</v>
      </c>
      <c r="F97" s="57">
        <f>IF(V33=$E$134,$E$148,IF(V33=$F$134,$F$148,IF(V33=$G$134,$G$148,IF(V33=$H$134,$H$148,IF(V33=$I$134,$I$148,IF(V33=$I$134,$I$148,IF(V33=$I$134,$I$148,IF(V33=$I$134,$I$148,IF(V33=$J$134,$J$148,IF(V33=$K$134,$K$148,IF(V33=$L$134,$L$148,IF(V33=$M$134,$M$148,IF(V33=$N$134,$N$148,IF(V33=$O$134,$O$148,IF(V33=$P$134,$P$148,IF(V33=$Q$134,$Q$148,IF(V33=$R$134,$R$148,IF(V33=$S$134,$S$148,$T$148))))))))))))))))))</f>
        <v>29.03</v>
      </c>
      <c r="G97" s="58" t="e">
        <f t="shared" si="16"/>
        <v>#VALUE!</v>
      </c>
      <c r="H97" s="25" t="e">
        <f t="shared" si="17"/>
        <v>#VALUE!</v>
      </c>
      <c r="I97" s="25" t="e">
        <f t="shared" si="18"/>
        <v>#VALUE!</v>
      </c>
      <c r="J97" s="120"/>
      <c r="K97" s="25" t="e">
        <f t="shared" si="19"/>
        <v>#VALUE!</v>
      </c>
      <c r="L97" s="25" t="e">
        <f t="shared" si="20"/>
        <v>#VALUE!</v>
      </c>
      <c r="M97" s="25" t="e">
        <f t="shared" si="21"/>
        <v>#VALUE!</v>
      </c>
      <c r="N97" s="56" t="e">
        <f t="shared" si="22"/>
        <v>#VALUE!</v>
      </c>
      <c r="O97" s="56" t="e">
        <f t="shared" si="23"/>
        <v>#VALUE!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</row>
    <row r="98" spans="1:261" s="1" customFormat="1" ht="21" hidden="1" x14ac:dyDescent="0.35">
      <c r="A98"/>
      <c r="B98" s="43"/>
      <c r="E98" s="18">
        <f t="shared" si="14"/>
        <v>0</v>
      </c>
      <c r="F98" s="57">
        <f t="shared" si="15"/>
        <v>29.03</v>
      </c>
      <c r="G98" s="58" t="e">
        <f t="shared" si="16"/>
        <v>#VALUE!</v>
      </c>
      <c r="H98" s="25" t="e">
        <f t="shared" si="17"/>
        <v>#VALUE!</v>
      </c>
      <c r="I98" s="25" t="e">
        <f t="shared" si="18"/>
        <v>#VALUE!</v>
      </c>
      <c r="J98" s="120"/>
      <c r="K98" s="25" t="e">
        <f t="shared" si="19"/>
        <v>#VALUE!</v>
      </c>
      <c r="L98" s="25" t="e">
        <f t="shared" si="20"/>
        <v>#VALUE!</v>
      </c>
      <c r="M98" s="25" t="e">
        <f t="shared" si="21"/>
        <v>#VALUE!</v>
      </c>
      <c r="N98" s="56" t="e">
        <f t="shared" si="22"/>
        <v>#VALUE!</v>
      </c>
      <c r="O98" s="56" t="e">
        <f t="shared" si="23"/>
        <v>#VALUE!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</row>
    <row r="99" spans="1:261" s="1" customFormat="1" ht="21" hidden="1" x14ac:dyDescent="0.35">
      <c r="A99"/>
      <c r="B99" s="43"/>
      <c r="E99" s="18">
        <f t="shared" si="14"/>
        <v>0</v>
      </c>
      <c r="F99" s="57">
        <f t="shared" si="15"/>
        <v>29.03</v>
      </c>
      <c r="G99" s="58" t="e">
        <f t="shared" si="16"/>
        <v>#VALUE!</v>
      </c>
      <c r="H99" s="25" t="e">
        <f t="shared" si="17"/>
        <v>#VALUE!</v>
      </c>
      <c r="I99" s="25" t="e">
        <f t="shared" si="18"/>
        <v>#VALUE!</v>
      </c>
      <c r="J99" s="120"/>
      <c r="K99" s="25" t="e">
        <f t="shared" si="19"/>
        <v>#VALUE!</v>
      </c>
      <c r="L99" s="25" t="e">
        <f t="shared" si="20"/>
        <v>#VALUE!</v>
      </c>
      <c r="M99" s="25" t="e">
        <f t="shared" si="21"/>
        <v>#VALUE!</v>
      </c>
      <c r="N99" s="56" t="e">
        <f t="shared" si="22"/>
        <v>#VALUE!</v>
      </c>
      <c r="O99" s="56" t="e">
        <f t="shared" si="23"/>
        <v>#VALUE!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</row>
    <row r="100" spans="1:261" s="1" customFormat="1" ht="21" hidden="1" x14ac:dyDescent="0.35">
      <c r="A100"/>
      <c r="B100" s="43"/>
      <c r="E100" s="18">
        <f t="shared" si="14"/>
        <v>0</v>
      </c>
      <c r="F100" s="57">
        <f t="shared" si="15"/>
        <v>29.03</v>
      </c>
      <c r="G100" s="58" t="e">
        <f t="shared" si="16"/>
        <v>#VALUE!</v>
      </c>
      <c r="H100" s="25" t="e">
        <f t="shared" si="17"/>
        <v>#VALUE!</v>
      </c>
      <c r="I100" s="25" t="e">
        <f t="shared" si="18"/>
        <v>#VALUE!</v>
      </c>
      <c r="J100" s="120"/>
      <c r="K100" s="25" t="e">
        <f t="shared" si="19"/>
        <v>#VALUE!</v>
      </c>
      <c r="L100" s="25" t="e">
        <f t="shared" si="20"/>
        <v>#VALUE!</v>
      </c>
      <c r="M100" s="25" t="e">
        <f t="shared" si="21"/>
        <v>#VALUE!</v>
      </c>
      <c r="N100" s="56" t="e">
        <f t="shared" si="22"/>
        <v>#VALUE!</v>
      </c>
      <c r="O100" s="56" t="e">
        <f t="shared" si="23"/>
        <v>#VALUE!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</row>
    <row r="101" spans="1:261" s="1" customFormat="1" ht="21" hidden="1" x14ac:dyDescent="0.35">
      <c r="A101"/>
      <c r="B101" s="43"/>
      <c r="E101" s="18">
        <f t="shared" si="14"/>
        <v>0</v>
      </c>
      <c r="F101" s="57">
        <f t="shared" si="15"/>
        <v>29.03</v>
      </c>
      <c r="G101" s="58" t="e">
        <f t="shared" si="16"/>
        <v>#VALUE!</v>
      </c>
      <c r="H101" s="25" t="e">
        <f t="shared" si="17"/>
        <v>#VALUE!</v>
      </c>
      <c r="I101" s="25" t="e">
        <f t="shared" si="18"/>
        <v>#VALUE!</v>
      </c>
      <c r="J101" s="120"/>
      <c r="K101" s="25" t="e">
        <f t="shared" si="19"/>
        <v>#VALUE!</v>
      </c>
      <c r="L101" s="25" t="e">
        <f t="shared" si="20"/>
        <v>#VALUE!</v>
      </c>
      <c r="M101" s="25" t="e">
        <f t="shared" si="21"/>
        <v>#VALUE!</v>
      </c>
      <c r="N101" s="56" t="e">
        <f t="shared" si="22"/>
        <v>#VALUE!</v>
      </c>
      <c r="O101" s="56" t="e">
        <f t="shared" si="23"/>
        <v>#VALUE!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</row>
    <row r="102" spans="1:261" s="1" customFormat="1" ht="21" hidden="1" x14ac:dyDescent="0.35">
      <c r="A102"/>
      <c r="B102" s="43"/>
      <c r="E102" s="18">
        <f t="shared" si="14"/>
        <v>0</v>
      </c>
      <c r="F102" s="57">
        <f t="shared" si="15"/>
        <v>29.03</v>
      </c>
      <c r="G102" s="58" t="e">
        <f t="shared" si="16"/>
        <v>#VALUE!</v>
      </c>
      <c r="H102" s="25" t="e">
        <f t="shared" si="17"/>
        <v>#VALUE!</v>
      </c>
      <c r="I102" s="25" t="e">
        <f t="shared" si="18"/>
        <v>#VALUE!</v>
      </c>
      <c r="J102" s="120"/>
      <c r="K102" s="25" t="e">
        <f t="shared" si="19"/>
        <v>#VALUE!</v>
      </c>
      <c r="L102" s="25" t="e">
        <f t="shared" si="20"/>
        <v>#VALUE!</v>
      </c>
      <c r="M102" s="25" t="e">
        <f t="shared" si="21"/>
        <v>#VALUE!</v>
      </c>
      <c r="N102" s="56" t="e">
        <f t="shared" si="22"/>
        <v>#VALUE!</v>
      </c>
      <c r="O102" s="56" t="e">
        <f t="shared" si="23"/>
        <v>#VALUE!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</row>
    <row r="103" spans="1:261" s="1" customFormat="1" ht="21" hidden="1" x14ac:dyDescent="0.35">
      <c r="A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</row>
    <row r="104" spans="1:261" s="1" customFormat="1" ht="21" hidden="1" x14ac:dyDescent="0.35">
      <c r="A104"/>
      <c r="C104" s="122" t="s">
        <v>7</v>
      </c>
      <c r="D104" s="59" t="s">
        <v>55</v>
      </c>
      <c r="E104" s="59">
        <v>0.01</v>
      </c>
      <c r="F104" s="59">
        <v>1.4999999999999999E-2</v>
      </c>
      <c r="G104" s="59">
        <v>2.5000000000000001E-2</v>
      </c>
      <c r="H104" s="59">
        <v>0.04</v>
      </c>
      <c r="I104" s="59">
        <v>6.5000000000000002E-2</v>
      </c>
      <c r="J104" s="59">
        <v>0.1</v>
      </c>
      <c r="K104" s="59">
        <v>0.15</v>
      </c>
      <c r="L104" s="59">
        <v>0.25</v>
      </c>
      <c r="M104" s="59">
        <v>0.4</v>
      </c>
      <c r="N104" s="59">
        <v>0.65</v>
      </c>
      <c r="O104" s="59">
        <v>1</v>
      </c>
      <c r="P104" s="59">
        <v>1.5</v>
      </c>
      <c r="Q104" s="59">
        <v>2.5</v>
      </c>
      <c r="R104" s="59">
        <v>4</v>
      </c>
      <c r="S104" s="59">
        <v>6.5</v>
      </c>
      <c r="T104" s="59">
        <v>10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</row>
    <row r="105" spans="1:261" s="1" customFormat="1" ht="21" hidden="1" x14ac:dyDescent="0.35">
      <c r="A105"/>
      <c r="C105" s="123"/>
      <c r="D105" s="59">
        <v>6</v>
      </c>
      <c r="E105" s="60">
        <f t="shared" ref="E105:E115" si="24">E$116</f>
        <v>3.9980000000000002E-2</v>
      </c>
      <c r="F105" s="60">
        <f t="shared" ref="F105:F114" si="25">F$115</f>
        <v>6.2649999999999997E-2</v>
      </c>
      <c r="G105" s="60">
        <f t="shared" ref="G105:G113" si="26">G$114</f>
        <v>0.10009999999999999</v>
      </c>
      <c r="H105" s="60">
        <f t="shared" ref="H105:H112" si="27">H$113</f>
        <v>0.1593</v>
      </c>
      <c r="I105" s="60">
        <f t="shared" ref="I105:I111" si="28">I$112</f>
        <v>0.25109999999999999</v>
      </c>
      <c r="J105" s="60">
        <f t="shared" ref="J105:J110" si="29">J$111</f>
        <v>0.40210000000000001</v>
      </c>
      <c r="K105" s="60">
        <f>K$110</f>
        <v>0.62990000000000002</v>
      </c>
      <c r="L105" s="60">
        <f>L$109</f>
        <v>1.012</v>
      </c>
      <c r="M105" s="60">
        <f>M$108</f>
        <v>1.62</v>
      </c>
      <c r="N105" s="60">
        <f>N$107</f>
        <v>2.5779999999999998</v>
      </c>
      <c r="O105" s="60">
        <f>O$106</f>
        <v>4.1959999999999997</v>
      </c>
      <c r="P105" s="61">
        <v>6.7240000000000002</v>
      </c>
      <c r="Q105" s="62">
        <v>9.2460000000000004</v>
      </c>
      <c r="R105" s="62">
        <v>13.29</v>
      </c>
      <c r="S105" s="62">
        <v>19.02</v>
      </c>
      <c r="T105" s="62">
        <v>29.03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</row>
    <row r="106" spans="1:261" s="1" customFormat="1" ht="21" hidden="1" x14ac:dyDescent="0.35">
      <c r="A106"/>
      <c r="C106" s="123"/>
      <c r="D106" s="59">
        <v>9</v>
      </c>
      <c r="E106" s="60">
        <f t="shared" si="24"/>
        <v>3.9980000000000002E-2</v>
      </c>
      <c r="F106" s="60">
        <f t="shared" si="25"/>
        <v>6.2649999999999997E-2</v>
      </c>
      <c r="G106" s="60">
        <f t="shared" si="26"/>
        <v>0.10009999999999999</v>
      </c>
      <c r="H106" s="60">
        <f t="shared" si="27"/>
        <v>0.1593</v>
      </c>
      <c r="I106" s="60">
        <f t="shared" si="28"/>
        <v>0.25109999999999999</v>
      </c>
      <c r="J106" s="60">
        <f t="shared" si="29"/>
        <v>0.40210000000000001</v>
      </c>
      <c r="K106" s="60">
        <f>K$110</f>
        <v>0.62990000000000002</v>
      </c>
      <c r="L106" s="60">
        <f>L$109</f>
        <v>1.012</v>
      </c>
      <c r="M106" s="60">
        <f>M$108</f>
        <v>1.62</v>
      </c>
      <c r="N106" s="60">
        <f>N$107</f>
        <v>2.5779999999999998</v>
      </c>
      <c r="O106" s="61">
        <v>4.1959999999999997</v>
      </c>
      <c r="P106" s="61">
        <v>5.8330000000000002</v>
      </c>
      <c r="Q106" s="62">
        <v>8.4369999999999994</v>
      </c>
      <c r="R106" s="62">
        <v>12.12</v>
      </c>
      <c r="S106" s="62">
        <v>18.52</v>
      </c>
      <c r="T106" s="62">
        <v>28.13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</row>
    <row r="107" spans="1:261" s="1" customFormat="1" ht="21" hidden="1" x14ac:dyDescent="0.35">
      <c r="A107"/>
      <c r="C107" s="123"/>
      <c r="D107" s="59">
        <v>13</v>
      </c>
      <c r="E107" s="60">
        <f t="shared" si="24"/>
        <v>3.9980000000000002E-2</v>
      </c>
      <c r="F107" s="60">
        <f t="shared" si="25"/>
        <v>6.2649999999999997E-2</v>
      </c>
      <c r="G107" s="60">
        <f t="shared" si="26"/>
        <v>0.10009999999999999</v>
      </c>
      <c r="H107" s="60">
        <f t="shared" si="27"/>
        <v>0.1593</v>
      </c>
      <c r="I107" s="60">
        <f t="shared" si="28"/>
        <v>0.25109999999999999</v>
      </c>
      <c r="J107" s="60">
        <f t="shared" si="29"/>
        <v>0.40210000000000001</v>
      </c>
      <c r="K107" s="60">
        <f>K$110</f>
        <v>0.62990000000000002</v>
      </c>
      <c r="L107" s="60">
        <f>L$109</f>
        <v>1.012</v>
      </c>
      <c r="M107" s="60">
        <f>M$108</f>
        <v>1.62</v>
      </c>
      <c r="N107" s="61">
        <v>2.5779999999999998</v>
      </c>
      <c r="O107" s="61">
        <v>3.605</v>
      </c>
      <c r="P107" s="61">
        <v>5.2450000000000001</v>
      </c>
      <c r="Q107" s="62">
        <v>7.5369999999999999</v>
      </c>
      <c r="R107" s="62">
        <v>11.54</v>
      </c>
      <c r="S107" s="62">
        <v>17.54</v>
      </c>
      <c r="T107" s="62">
        <v>27.31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</row>
    <row r="108" spans="1:261" s="1" customFormat="1" ht="21" hidden="1" x14ac:dyDescent="0.35">
      <c r="A108"/>
      <c r="C108" s="123"/>
      <c r="D108" s="59">
        <v>18</v>
      </c>
      <c r="E108" s="60">
        <f t="shared" si="24"/>
        <v>3.9980000000000002E-2</v>
      </c>
      <c r="F108" s="60">
        <f t="shared" si="25"/>
        <v>6.2649999999999997E-2</v>
      </c>
      <c r="G108" s="60">
        <f t="shared" si="26"/>
        <v>0.10009999999999999</v>
      </c>
      <c r="H108" s="60">
        <f t="shared" si="27"/>
        <v>0.1593</v>
      </c>
      <c r="I108" s="60">
        <f t="shared" si="28"/>
        <v>0.25109999999999999</v>
      </c>
      <c r="J108" s="60">
        <f t="shared" si="29"/>
        <v>0.40210000000000001</v>
      </c>
      <c r="K108" s="60">
        <f>K$110</f>
        <v>0.62990000000000002</v>
      </c>
      <c r="L108" s="60">
        <f>L$109</f>
        <v>1.012</v>
      </c>
      <c r="M108" s="62">
        <v>1.62</v>
      </c>
      <c r="N108" s="61">
        <v>2.2749999999999999</v>
      </c>
      <c r="O108" s="61">
        <v>3.323</v>
      </c>
      <c r="P108" s="61">
        <v>4.782</v>
      </c>
      <c r="Q108" s="62">
        <v>7.3150000000000004</v>
      </c>
      <c r="R108" s="62">
        <v>11.12</v>
      </c>
      <c r="S108" s="62">
        <v>17.329999999999998</v>
      </c>
      <c r="T108" s="62">
        <v>23.84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</row>
    <row r="109" spans="1:261" s="1" customFormat="1" ht="21" hidden="1" x14ac:dyDescent="0.35">
      <c r="A109"/>
      <c r="C109" s="123"/>
      <c r="D109" s="59">
        <v>25</v>
      </c>
      <c r="E109" s="60">
        <f t="shared" si="24"/>
        <v>3.9980000000000002E-2</v>
      </c>
      <c r="F109" s="60">
        <f t="shared" si="25"/>
        <v>6.2649999999999997E-2</v>
      </c>
      <c r="G109" s="60">
        <f t="shared" si="26"/>
        <v>0.10009999999999999</v>
      </c>
      <c r="H109" s="60">
        <f t="shared" si="27"/>
        <v>0.1593</v>
      </c>
      <c r="I109" s="60">
        <f t="shared" si="28"/>
        <v>0.25109999999999999</v>
      </c>
      <c r="J109" s="60">
        <f t="shared" si="29"/>
        <v>0.40210000000000001</v>
      </c>
      <c r="K109" s="60">
        <f>K$110</f>
        <v>0.62990000000000002</v>
      </c>
      <c r="L109" s="62">
        <v>1.012</v>
      </c>
      <c r="M109" s="62">
        <v>1.4279999999999999</v>
      </c>
      <c r="N109" s="62">
        <v>2.0840000000000001</v>
      </c>
      <c r="O109" s="62">
        <v>3.01</v>
      </c>
      <c r="P109" s="62">
        <v>4.6029999999999998</v>
      </c>
      <c r="Q109" s="62">
        <v>7.01</v>
      </c>
      <c r="R109" s="62">
        <v>10.91</v>
      </c>
      <c r="S109" s="62">
        <v>15.03</v>
      </c>
      <c r="T109" s="62">
        <v>21.03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</row>
    <row r="110" spans="1:261" s="1" customFormat="1" ht="21" hidden="1" x14ac:dyDescent="0.35">
      <c r="A110"/>
      <c r="C110" s="123"/>
      <c r="D110" s="59">
        <v>35</v>
      </c>
      <c r="E110" s="60">
        <f t="shared" si="24"/>
        <v>3.9980000000000002E-2</v>
      </c>
      <c r="F110" s="60">
        <f t="shared" si="25"/>
        <v>6.2649999999999997E-2</v>
      </c>
      <c r="G110" s="60">
        <f t="shared" si="26"/>
        <v>0.10009999999999999</v>
      </c>
      <c r="H110" s="60">
        <f t="shared" si="27"/>
        <v>0.1593</v>
      </c>
      <c r="I110" s="60">
        <f t="shared" si="28"/>
        <v>0.25109999999999999</v>
      </c>
      <c r="J110" s="60">
        <f t="shared" si="29"/>
        <v>0.40210000000000001</v>
      </c>
      <c r="K110" s="62">
        <v>0.62990000000000002</v>
      </c>
      <c r="L110" s="62">
        <v>0.89</v>
      </c>
      <c r="M110" s="62">
        <v>1.304</v>
      </c>
      <c r="N110" s="62">
        <v>1.88</v>
      </c>
      <c r="O110" s="62">
        <v>2.88</v>
      </c>
      <c r="P110" s="62">
        <v>4.3789999999999996</v>
      </c>
      <c r="Q110" s="62">
        <v>6.82</v>
      </c>
      <c r="R110" s="62">
        <v>9.375</v>
      </c>
      <c r="S110" s="62">
        <v>13.14</v>
      </c>
      <c r="T110" s="62">
        <v>18.13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</row>
    <row r="111" spans="1:261" s="1" customFormat="1" ht="21" hidden="1" x14ac:dyDescent="0.35">
      <c r="A111"/>
      <c r="C111" s="123"/>
      <c r="D111" s="59">
        <v>50</v>
      </c>
      <c r="E111" s="60">
        <f t="shared" si="24"/>
        <v>3.9980000000000002E-2</v>
      </c>
      <c r="F111" s="60">
        <f t="shared" si="25"/>
        <v>6.2649999999999997E-2</v>
      </c>
      <c r="G111" s="60">
        <f t="shared" si="26"/>
        <v>0.10009999999999999</v>
      </c>
      <c r="H111" s="60">
        <f t="shared" si="27"/>
        <v>0.1593</v>
      </c>
      <c r="I111" s="60">
        <f t="shared" si="28"/>
        <v>0.25109999999999999</v>
      </c>
      <c r="J111" s="61">
        <v>0.40210000000000001</v>
      </c>
      <c r="K111" s="62">
        <v>0.56899999999999995</v>
      </c>
      <c r="L111" s="62">
        <v>0.83350000000000002</v>
      </c>
      <c r="M111" s="62">
        <v>1.2030000000000001</v>
      </c>
      <c r="N111" s="62">
        <v>1.84</v>
      </c>
      <c r="O111" s="62">
        <v>2.8</v>
      </c>
      <c r="P111" s="62">
        <v>4.3639999999999999</v>
      </c>
      <c r="Q111" s="62">
        <v>6.0060000000000002</v>
      </c>
      <c r="R111" s="62">
        <v>8.4060000000000006</v>
      </c>
      <c r="S111" s="62">
        <v>11.59</v>
      </c>
      <c r="T111" s="62">
        <v>17.2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</row>
    <row r="112" spans="1:261" s="1" customFormat="1" ht="21" hidden="1" x14ac:dyDescent="0.35">
      <c r="A112"/>
      <c r="B112"/>
      <c r="C112" s="123"/>
      <c r="D112" s="59">
        <v>70</v>
      </c>
      <c r="E112" s="60">
        <f t="shared" si="24"/>
        <v>3.9980000000000002E-2</v>
      </c>
      <c r="F112" s="60">
        <f t="shared" si="25"/>
        <v>6.2649999999999997E-2</v>
      </c>
      <c r="G112" s="60">
        <f t="shared" si="26"/>
        <v>0.10009999999999999</v>
      </c>
      <c r="H112" s="60">
        <f t="shared" si="27"/>
        <v>0.1593</v>
      </c>
      <c r="I112" s="61">
        <v>0.25109999999999999</v>
      </c>
      <c r="J112" s="61">
        <v>0.3553</v>
      </c>
      <c r="K112" s="62">
        <v>0.52090000000000003</v>
      </c>
      <c r="L112" s="62">
        <v>0.75</v>
      </c>
      <c r="M112" s="62">
        <v>1.1499999999999999</v>
      </c>
      <c r="N112" s="62">
        <v>1.75</v>
      </c>
      <c r="O112" s="62">
        <v>2.7524999999999999</v>
      </c>
      <c r="P112" s="62">
        <v>3.7530000000000001</v>
      </c>
      <c r="Q112" s="62">
        <v>5.2549999999999999</v>
      </c>
      <c r="R112" s="62" t="s">
        <v>56</v>
      </c>
      <c r="S112" s="62">
        <v>10.74</v>
      </c>
      <c r="T112" s="60">
        <f t="shared" ref="T112:T117" si="30">T$111</f>
        <v>17.2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</row>
    <row r="113" spans="1:261" s="1" customFormat="1" ht="21" hidden="1" x14ac:dyDescent="0.35">
      <c r="A113"/>
      <c r="B113"/>
      <c r="C113" s="123"/>
      <c r="D113" s="59">
        <v>95</v>
      </c>
      <c r="E113" s="60">
        <f t="shared" si="24"/>
        <v>3.9980000000000002E-2</v>
      </c>
      <c r="F113" s="60">
        <f t="shared" si="25"/>
        <v>6.2649999999999997E-2</v>
      </c>
      <c r="G113" s="60">
        <f t="shared" si="26"/>
        <v>0.10009999999999999</v>
      </c>
      <c r="H113" s="61">
        <v>0.1593</v>
      </c>
      <c r="I113" s="61">
        <v>0.22539999999999999</v>
      </c>
      <c r="J113" s="62">
        <v>0.33040000000000003</v>
      </c>
      <c r="K113" s="62">
        <v>0.47649999999999998</v>
      </c>
      <c r="L113" s="61">
        <v>0.7298</v>
      </c>
      <c r="M113" s="62">
        <v>1.1100000000000001</v>
      </c>
      <c r="N113" s="62">
        <v>1.732</v>
      </c>
      <c r="O113" s="62">
        <v>2.383</v>
      </c>
      <c r="P113" s="62">
        <v>3.3359999999999999</v>
      </c>
      <c r="Q113" s="62">
        <v>4.6070000000000002</v>
      </c>
      <c r="R113" s="62">
        <v>6.827</v>
      </c>
      <c r="S113" s="60">
        <f>S$112</f>
        <v>10.74</v>
      </c>
      <c r="T113" s="60">
        <f t="shared" si="30"/>
        <v>17.2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</row>
    <row r="114" spans="1:261" s="1" customFormat="1" ht="21" hidden="1" x14ac:dyDescent="0.35">
      <c r="A114"/>
      <c r="B114"/>
      <c r="C114" s="123"/>
      <c r="D114" s="59">
        <v>125</v>
      </c>
      <c r="E114" s="60">
        <f t="shared" si="24"/>
        <v>3.9980000000000002E-2</v>
      </c>
      <c r="F114" s="60">
        <f t="shared" si="25"/>
        <v>6.2649999999999997E-2</v>
      </c>
      <c r="G114" s="61">
        <v>0.10009999999999999</v>
      </c>
      <c r="H114" s="61">
        <v>0.1421</v>
      </c>
      <c r="I114" s="61">
        <v>0.20810000000000001</v>
      </c>
      <c r="J114" s="62">
        <v>0.30049999999999999</v>
      </c>
      <c r="K114" s="62">
        <v>0.4602</v>
      </c>
      <c r="L114" s="62">
        <v>0.7006</v>
      </c>
      <c r="M114" s="62">
        <v>1.0900000000000001</v>
      </c>
      <c r="N114" s="62">
        <v>1.4990000000000001</v>
      </c>
      <c r="O114" s="62">
        <v>2.0979999999999999</v>
      </c>
      <c r="P114" s="62">
        <v>2.8959999999999999</v>
      </c>
      <c r="Q114" s="62">
        <v>4.3010000000000002</v>
      </c>
      <c r="R114" s="60">
        <f>R$113</f>
        <v>6.827</v>
      </c>
      <c r="S114" s="60">
        <f>S$112</f>
        <v>10.74</v>
      </c>
      <c r="T114" s="60">
        <f t="shared" si="30"/>
        <v>17.2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</row>
    <row r="115" spans="1:261" s="1" customFormat="1" ht="21" hidden="1" x14ac:dyDescent="0.35">
      <c r="A115"/>
      <c r="B115"/>
      <c r="C115" s="123"/>
      <c r="D115" s="59">
        <v>160</v>
      </c>
      <c r="E115" s="60">
        <f t="shared" si="24"/>
        <v>3.9980000000000002E-2</v>
      </c>
      <c r="F115" s="62">
        <v>6.2649999999999997E-2</v>
      </c>
      <c r="G115" s="62">
        <v>8.8929999999999995E-2</v>
      </c>
      <c r="H115" s="62">
        <v>0.13020000000000001</v>
      </c>
      <c r="I115" s="62">
        <v>0.18740000000000001</v>
      </c>
      <c r="J115" s="62">
        <v>0.28749999999999998</v>
      </c>
      <c r="K115" s="62">
        <v>0.43809999999999999</v>
      </c>
      <c r="L115" s="62">
        <v>0.68179999999999996</v>
      </c>
      <c r="M115" s="61">
        <v>0.93679999999999997</v>
      </c>
      <c r="N115" s="62">
        <v>1.3109999999999999</v>
      </c>
      <c r="O115" s="62">
        <v>1.8120000000000001</v>
      </c>
      <c r="P115" s="62">
        <v>2.6850000000000001</v>
      </c>
      <c r="Q115" s="60">
        <f>Q$114</f>
        <v>4.3010000000000002</v>
      </c>
      <c r="R115" s="60">
        <f>R$113</f>
        <v>6.827</v>
      </c>
      <c r="S115" s="60">
        <f>S$112</f>
        <v>10.74</v>
      </c>
      <c r="T115" s="60">
        <f t="shared" si="30"/>
        <v>17.2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</row>
    <row r="116" spans="1:261" s="1" customFormat="1" ht="21" hidden="1" x14ac:dyDescent="0.35">
      <c r="A116"/>
      <c r="B116"/>
      <c r="C116" s="123"/>
      <c r="D116" s="59">
        <v>200</v>
      </c>
      <c r="E116" s="61">
        <v>3.9980000000000002E-2</v>
      </c>
      <c r="F116" s="62">
        <v>5.6890000000000003E-2</v>
      </c>
      <c r="G116" s="62">
        <v>5.6890000000000003E-2</v>
      </c>
      <c r="H116" s="62">
        <v>0.1202</v>
      </c>
      <c r="I116" s="62">
        <v>0.1842</v>
      </c>
      <c r="J116" s="62">
        <v>0.28010000000000002</v>
      </c>
      <c r="K116" s="62">
        <v>0.43659999999999999</v>
      </c>
      <c r="L116" s="62">
        <v>0.60070000000000001</v>
      </c>
      <c r="M116" s="62">
        <v>0.8397</v>
      </c>
      <c r="N116" s="62">
        <v>1.161</v>
      </c>
      <c r="O116" s="62">
        <v>1.72</v>
      </c>
      <c r="P116" s="60">
        <f>P$115</f>
        <v>2.6850000000000001</v>
      </c>
      <c r="Q116" s="60">
        <f>Q$114</f>
        <v>4.3010000000000002</v>
      </c>
      <c r="R116" s="60">
        <f>R$113</f>
        <v>6.827</v>
      </c>
      <c r="S116" s="60">
        <f>S$112</f>
        <v>10.74</v>
      </c>
      <c r="T116" s="60">
        <f t="shared" si="30"/>
        <v>17.2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</row>
    <row r="117" spans="1:261" s="1" customFormat="1" ht="21" hidden="1" x14ac:dyDescent="0.35">
      <c r="A117"/>
      <c r="B117"/>
      <c r="C117" s="124"/>
      <c r="D117" s="59">
        <v>250</v>
      </c>
      <c r="E117" s="62">
        <v>3.5529999999999999E-2</v>
      </c>
      <c r="F117" s="62">
        <v>5.2089999999999997E-2</v>
      </c>
      <c r="G117" s="62">
        <v>7.4950000000000003E-2</v>
      </c>
      <c r="H117" s="62">
        <v>0.11509999999999999</v>
      </c>
      <c r="I117" s="62">
        <v>0.17499999999999999</v>
      </c>
      <c r="J117" s="62">
        <v>0.27289999999999998</v>
      </c>
      <c r="K117" s="62">
        <v>0.37530000000000002</v>
      </c>
      <c r="L117" s="62">
        <v>0.52449999999999997</v>
      </c>
      <c r="M117" s="62">
        <v>0.7258</v>
      </c>
      <c r="N117" s="62">
        <v>1.0760000000000001</v>
      </c>
      <c r="O117" s="60">
        <f>O$116</f>
        <v>1.72</v>
      </c>
      <c r="P117" s="60">
        <f>P$115</f>
        <v>2.6850000000000001</v>
      </c>
      <c r="Q117" s="60">
        <f>Q$114</f>
        <v>4.3010000000000002</v>
      </c>
      <c r="R117" s="60">
        <f>R$113</f>
        <v>6.827</v>
      </c>
      <c r="S117" s="60">
        <f>S$112</f>
        <v>10.74</v>
      </c>
      <c r="T117" s="60">
        <f t="shared" si="30"/>
        <v>17.2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</row>
    <row r="118" spans="1:261" s="1" customFormat="1" ht="21" hidden="1" x14ac:dyDescent="0.35">
      <c r="A118"/>
      <c r="B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</row>
    <row r="119" spans="1:261" s="1" customFormat="1" ht="21" hidden="1" x14ac:dyDescent="0.35">
      <c r="A119"/>
      <c r="B119"/>
      <c r="C119" s="122" t="s">
        <v>57</v>
      </c>
      <c r="D119" s="59" t="s">
        <v>55</v>
      </c>
      <c r="E119" s="59">
        <v>0.01</v>
      </c>
      <c r="F119" s="59">
        <v>1.4999999999999999E-2</v>
      </c>
      <c r="G119" s="59">
        <v>2.5000000000000001E-2</v>
      </c>
      <c r="H119" s="59">
        <v>0.04</v>
      </c>
      <c r="I119" s="59">
        <v>6.5000000000000002E-2</v>
      </c>
      <c r="J119" s="59">
        <v>0.1</v>
      </c>
      <c r="K119" s="59">
        <v>0.15</v>
      </c>
      <c r="L119" s="59">
        <v>0.25</v>
      </c>
      <c r="M119" s="59">
        <v>0.4</v>
      </c>
      <c r="N119" s="59">
        <v>0.65</v>
      </c>
      <c r="O119" s="59">
        <v>1</v>
      </c>
      <c r="P119" s="59">
        <v>1.5</v>
      </c>
      <c r="Q119" s="59">
        <v>2.5</v>
      </c>
      <c r="R119" s="59">
        <v>4</v>
      </c>
      <c r="S119" s="59">
        <v>6.5</v>
      </c>
      <c r="T119" s="59">
        <v>10</v>
      </c>
      <c r="U119" s="1" t="s">
        <v>27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</row>
    <row r="120" spans="1:261" s="1" customFormat="1" ht="21" hidden="1" x14ac:dyDescent="0.35">
      <c r="A120"/>
      <c r="B120"/>
      <c r="C120" s="123"/>
      <c r="D120" s="59">
        <f t="shared" ref="D120:D132" si="31">IF($W$12=D105,D105,"")</f>
        <v>6</v>
      </c>
      <c r="E120" s="63">
        <f t="shared" ref="E120:T132" si="32">IF(ISNUMBER($D120),E105,"")</f>
        <v>3.9980000000000002E-2</v>
      </c>
      <c r="F120" s="63">
        <f t="shared" si="32"/>
        <v>6.2649999999999997E-2</v>
      </c>
      <c r="G120" s="63">
        <f t="shared" si="32"/>
        <v>0.10009999999999999</v>
      </c>
      <c r="H120" s="63">
        <f t="shared" si="32"/>
        <v>0.1593</v>
      </c>
      <c r="I120" s="63">
        <f t="shared" si="32"/>
        <v>0.25109999999999999</v>
      </c>
      <c r="J120" s="63">
        <f t="shared" si="32"/>
        <v>0.40210000000000001</v>
      </c>
      <c r="K120" s="63">
        <f t="shared" si="32"/>
        <v>0.62990000000000002</v>
      </c>
      <c r="L120" s="63">
        <f t="shared" si="32"/>
        <v>1.012</v>
      </c>
      <c r="M120" s="63">
        <f t="shared" si="32"/>
        <v>1.62</v>
      </c>
      <c r="N120" s="63">
        <f t="shared" si="32"/>
        <v>2.5779999999999998</v>
      </c>
      <c r="O120" s="63">
        <f t="shared" si="32"/>
        <v>4.1959999999999997</v>
      </c>
      <c r="P120" s="63">
        <f t="shared" si="32"/>
        <v>6.7240000000000002</v>
      </c>
      <c r="Q120" s="63">
        <f t="shared" si="32"/>
        <v>9.2460000000000004</v>
      </c>
      <c r="R120" s="63">
        <f t="shared" si="32"/>
        <v>13.29</v>
      </c>
      <c r="S120" s="63">
        <f t="shared" si="32"/>
        <v>19.02</v>
      </c>
      <c r="T120" s="63">
        <f t="shared" si="32"/>
        <v>29.03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</row>
    <row r="121" spans="1:261" s="1" customFormat="1" ht="21" hidden="1" x14ac:dyDescent="0.35">
      <c r="A121"/>
      <c r="B121"/>
      <c r="C121" s="123"/>
      <c r="D121" s="59" t="str">
        <f t="shared" si="31"/>
        <v/>
      </c>
      <c r="E121" s="63" t="str">
        <f t="shared" si="32"/>
        <v/>
      </c>
      <c r="F121" s="63" t="str">
        <f t="shared" si="32"/>
        <v/>
      </c>
      <c r="G121" s="63" t="str">
        <f t="shared" si="32"/>
        <v/>
      </c>
      <c r="H121" s="63" t="str">
        <f t="shared" si="32"/>
        <v/>
      </c>
      <c r="I121" s="63" t="str">
        <f t="shared" si="32"/>
        <v/>
      </c>
      <c r="J121" s="63" t="str">
        <f t="shared" si="32"/>
        <v/>
      </c>
      <c r="K121" s="63" t="str">
        <f t="shared" si="32"/>
        <v/>
      </c>
      <c r="L121" s="63" t="str">
        <f t="shared" si="32"/>
        <v/>
      </c>
      <c r="M121" s="63" t="str">
        <f t="shared" si="32"/>
        <v/>
      </c>
      <c r="N121" s="63" t="str">
        <f t="shared" si="32"/>
        <v/>
      </c>
      <c r="O121" s="63" t="str">
        <f t="shared" si="32"/>
        <v/>
      </c>
      <c r="P121" s="63" t="str">
        <f t="shared" si="32"/>
        <v/>
      </c>
      <c r="Q121" s="63" t="str">
        <f t="shared" si="32"/>
        <v/>
      </c>
      <c r="R121" s="63" t="str">
        <f t="shared" si="32"/>
        <v/>
      </c>
      <c r="S121" s="63" t="str">
        <f t="shared" si="32"/>
        <v/>
      </c>
      <c r="T121" s="63" t="str">
        <f t="shared" si="32"/>
        <v/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</row>
    <row r="122" spans="1:261" s="1" customFormat="1" ht="21" hidden="1" x14ac:dyDescent="0.35">
      <c r="A122"/>
      <c r="B122"/>
      <c r="C122" s="123"/>
      <c r="D122" s="59" t="str">
        <f t="shared" si="31"/>
        <v/>
      </c>
      <c r="E122" s="63" t="str">
        <f t="shared" si="32"/>
        <v/>
      </c>
      <c r="F122" s="63" t="str">
        <f t="shared" si="32"/>
        <v/>
      </c>
      <c r="G122" s="63" t="str">
        <f t="shared" si="32"/>
        <v/>
      </c>
      <c r="H122" s="63" t="str">
        <f t="shared" si="32"/>
        <v/>
      </c>
      <c r="I122" s="63" t="str">
        <f t="shared" si="32"/>
        <v/>
      </c>
      <c r="J122" s="63" t="str">
        <f t="shared" si="32"/>
        <v/>
      </c>
      <c r="K122" s="63" t="str">
        <f t="shared" si="32"/>
        <v/>
      </c>
      <c r="L122" s="63" t="str">
        <f t="shared" si="32"/>
        <v/>
      </c>
      <c r="M122" s="63" t="str">
        <f t="shared" si="32"/>
        <v/>
      </c>
      <c r="N122" s="63" t="str">
        <f t="shared" si="32"/>
        <v/>
      </c>
      <c r="O122" s="63" t="str">
        <f t="shared" si="32"/>
        <v/>
      </c>
      <c r="P122" s="63" t="str">
        <f t="shared" si="32"/>
        <v/>
      </c>
      <c r="Q122" s="63" t="str">
        <f t="shared" si="32"/>
        <v/>
      </c>
      <c r="R122" s="63" t="str">
        <f t="shared" si="32"/>
        <v/>
      </c>
      <c r="S122" s="63" t="str">
        <f t="shared" si="32"/>
        <v/>
      </c>
      <c r="T122" s="63" t="str">
        <f t="shared" si="32"/>
        <v/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</row>
    <row r="123" spans="1:261" s="1" customFormat="1" ht="21" hidden="1" x14ac:dyDescent="0.35">
      <c r="A123"/>
      <c r="B123"/>
      <c r="C123" s="123"/>
      <c r="D123" s="59" t="str">
        <f t="shared" si="31"/>
        <v/>
      </c>
      <c r="E123" s="63" t="str">
        <f t="shared" si="32"/>
        <v/>
      </c>
      <c r="F123" s="63" t="str">
        <f t="shared" si="32"/>
        <v/>
      </c>
      <c r="G123" s="63" t="str">
        <f t="shared" si="32"/>
        <v/>
      </c>
      <c r="H123" s="63" t="str">
        <f t="shared" si="32"/>
        <v/>
      </c>
      <c r="I123" s="63" t="str">
        <f t="shared" si="32"/>
        <v/>
      </c>
      <c r="J123" s="63" t="str">
        <f t="shared" si="32"/>
        <v/>
      </c>
      <c r="K123" s="63" t="str">
        <f t="shared" si="32"/>
        <v/>
      </c>
      <c r="L123" s="63" t="str">
        <f t="shared" si="32"/>
        <v/>
      </c>
      <c r="M123" s="63" t="str">
        <f t="shared" si="32"/>
        <v/>
      </c>
      <c r="N123" s="63" t="str">
        <f t="shared" si="32"/>
        <v/>
      </c>
      <c r="O123" s="63" t="str">
        <f t="shared" si="32"/>
        <v/>
      </c>
      <c r="P123" s="63" t="str">
        <f t="shared" si="32"/>
        <v/>
      </c>
      <c r="Q123" s="63" t="str">
        <f t="shared" si="32"/>
        <v/>
      </c>
      <c r="R123" s="63" t="str">
        <f t="shared" si="32"/>
        <v/>
      </c>
      <c r="S123" s="63" t="str">
        <f t="shared" si="32"/>
        <v/>
      </c>
      <c r="T123" s="63" t="str">
        <f t="shared" si="32"/>
        <v/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</row>
    <row r="124" spans="1:261" s="1" customFormat="1" ht="21" hidden="1" x14ac:dyDescent="0.35">
      <c r="A124"/>
      <c r="B124"/>
      <c r="C124" s="123"/>
      <c r="D124" s="59" t="str">
        <f t="shared" si="31"/>
        <v/>
      </c>
      <c r="E124" s="63" t="str">
        <f t="shared" si="32"/>
        <v/>
      </c>
      <c r="F124" s="63" t="str">
        <f t="shared" si="32"/>
        <v/>
      </c>
      <c r="G124" s="63" t="str">
        <f t="shared" si="32"/>
        <v/>
      </c>
      <c r="H124" s="63" t="str">
        <f t="shared" si="32"/>
        <v/>
      </c>
      <c r="I124" s="63" t="str">
        <f t="shared" si="32"/>
        <v/>
      </c>
      <c r="J124" s="63" t="str">
        <f t="shared" si="32"/>
        <v/>
      </c>
      <c r="K124" s="63" t="str">
        <f t="shared" si="32"/>
        <v/>
      </c>
      <c r="L124" s="63" t="str">
        <f t="shared" si="32"/>
        <v/>
      </c>
      <c r="M124" s="63" t="str">
        <f t="shared" si="32"/>
        <v/>
      </c>
      <c r="N124" s="63" t="str">
        <f t="shared" si="32"/>
        <v/>
      </c>
      <c r="O124" s="63" t="str">
        <f t="shared" si="32"/>
        <v/>
      </c>
      <c r="P124" s="63" t="str">
        <f t="shared" si="32"/>
        <v/>
      </c>
      <c r="Q124" s="63" t="str">
        <f t="shared" si="32"/>
        <v/>
      </c>
      <c r="R124" s="63" t="str">
        <f t="shared" si="32"/>
        <v/>
      </c>
      <c r="S124" s="63" t="str">
        <f t="shared" si="32"/>
        <v/>
      </c>
      <c r="T124" s="63" t="str">
        <f t="shared" si="32"/>
        <v/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</row>
    <row r="125" spans="1:261" s="1" customFormat="1" ht="21" hidden="1" x14ac:dyDescent="0.35">
      <c r="A125"/>
      <c r="B125"/>
      <c r="C125" s="123"/>
      <c r="D125" s="59" t="str">
        <f t="shared" si="31"/>
        <v/>
      </c>
      <c r="E125" s="63" t="str">
        <f t="shared" si="32"/>
        <v/>
      </c>
      <c r="F125" s="63" t="str">
        <f t="shared" si="32"/>
        <v/>
      </c>
      <c r="G125" s="63" t="str">
        <f t="shared" si="32"/>
        <v/>
      </c>
      <c r="H125" s="63" t="str">
        <f t="shared" si="32"/>
        <v/>
      </c>
      <c r="I125" s="63" t="str">
        <f t="shared" si="32"/>
        <v/>
      </c>
      <c r="J125" s="63" t="str">
        <f t="shared" si="32"/>
        <v/>
      </c>
      <c r="K125" s="63" t="str">
        <f t="shared" si="32"/>
        <v/>
      </c>
      <c r="L125" s="63" t="str">
        <f t="shared" si="32"/>
        <v/>
      </c>
      <c r="M125" s="63" t="str">
        <f t="shared" si="32"/>
        <v/>
      </c>
      <c r="N125" s="63" t="str">
        <f t="shared" si="32"/>
        <v/>
      </c>
      <c r="O125" s="63" t="str">
        <f t="shared" si="32"/>
        <v/>
      </c>
      <c r="P125" s="63" t="str">
        <f t="shared" si="32"/>
        <v/>
      </c>
      <c r="Q125" s="63" t="str">
        <f t="shared" si="32"/>
        <v/>
      </c>
      <c r="R125" s="63" t="str">
        <f t="shared" si="32"/>
        <v/>
      </c>
      <c r="S125" s="63" t="str">
        <f t="shared" si="32"/>
        <v/>
      </c>
      <c r="T125" s="63" t="str">
        <f t="shared" si="32"/>
        <v/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</row>
    <row r="126" spans="1:261" s="1" customFormat="1" ht="21" hidden="1" x14ac:dyDescent="0.35">
      <c r="A126"/>
      <c r="B126"/>
      <c r="C126" s="123"/>
      <c r="D126" s="59" t="str">
        <f t="shared" si="31"/>
        <v/>
      </c>
      <c r="E126" s="63" t="str">
        <f t="shared" si="32"/>
        <v/>
      </c>
      <c r="F126" s="63" t="str">
        <f t="shared" si="32"/>
        <v/>
      </c>
      <c r="G126" s="63" t="str">
        <f t="shared" si="32"/>
        <v/>
      </c>
      <c r="H126" s="63" t="str">
        <f t="shared" si="32"/>
        <v/>
      </c>
      <c r="I126" s="63" t="str">
        <f t="shared" si="32"/>
        <v/>
      </c>
      <c r="J126" s="63" t="str">
        <f t="shared" si="32"/>
        <v/>
      </c>
      <c r="K126" s="63" t="str">
        <f t="shared" si="32"/>
        <v/>
      </c>
      <c r="L126" s="63" t="str">
        <f t="shared" si="32"/>
        <v/>
      </c>
      <c r="M126" s="63" t="str">
        <f t="shared" si="32"/>
        <v/>
      </c>
      <c r="N126" s="63" t="str">
        <f t="shared" si="32"/>
        <v/>
      </c>
      <c r="O126" s="63" t="str">
        <f t="shared" si="32"/>
        <v/>
      </c>
      <c r="P126" s="63" t="str">
        <f t="shared" si="32"/>
        <v/>
      </c>
      <c r="Q126" s="63" t="str">
        <f t="shared" si="32"/>
        <v/>
      </c>
      <c r="R126" s="63" t="str">
        <f t="shared" si="32"/>
        <v/>
      </c>
      <c r="S126" s="63" t="str">
        <f t="shared" si="32"/>
        <v/>
      </c>
      <c r="T126" s="63" t="str">
        <f t="shared" si="32"/>
        <v/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</row>
    <row r="127" spans="1:261" s="1" customFormat="1" ht="21" hidden="1" x14ac:dyDescent="0.35">
      <c r="A127"/>
      <c r="B127"/>
      <c r="C127" s="123"/>
      <c r="D127" s="59" t="str">
        <f t="shared" si="31"/>
        <v/>
      </c>
      <c r="E127" s="63" t="str">
        <f t="shared" si="32"/>
        <v/>
      </c>
      <c r="F127" s="63" t="str">
        <f t="shared" si="32"/>
        <v/>
      </c>
      <c r="G127" s="63" t="str">
        <f t="shared" si="32"/>
        <v/>
      </c>
      <c r="H127" s="63" t="str">
        <f t="shared" si="32"/>
        <v/>
      </c>
      <c r="I127" s="63" t="str">
        <f t="shared" si="32"/>
        <v/>
      </c>
      <c r="J127" s="63" t="str">
        <f t="shared" si="32"/>
        <v/>
      </c>
      <c r="K127" s="63" t="str">
        <f t="shared" si="32"/>
        <v/>
      </c>
      <c r="L127" s="63" t="str">
        <f t="shared" si="32"/>
        <v/>
      </c>
      <c r="M127" s="63" t="str">
        <f t="shared" si="32"/>
        <v/>
      </c>
      <c r="N127" s="63" t="str">
        <f t="shared" si="32"/>
        <v/>
      </c>
      <c r="O127" s="63" t="str">
        <f t="shared" si="32"/>
        <v/>
      </c>
      <c r="P127" s="63" t="str">
        <f t="shared" si="32"/>
        <v/>
      </c>
      <c r="Q127" s="63" t="str">
        <f t="shared" si="32"/>
        <v/>
      </c>
      <c r="R127" s="63" t="str">
        <f t="shared" si="32"/>
        <v/>
      </c>
      <c r="S127" s="63" t="str">
        <f t="shared" si="32"/>
        <v/>
      </c>
      <c r="T127" s="63" t="str">
        <f t="shared" si="32"/>
        <v/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</row>
    <row r="128" spans="1:261" s="1" customFormat="1" ht="21" hidden="1" x14ac:dyDescent="0.35">
      <c r="A128"/>
      <c r="B128"/>
      <c r="C128" s="123"/>
      <c r="D128" s="59" t="str">
        <f t="shared" si="31"/>
        <v/>
      </c>
      <c r="E128" s="63" t="str">
        <f t="shared" si="32"/>
        <v/>
      </c>
      <c r="F128" s="63" t="str">
        <f t="shared" si="32"/>
        <v/>
      </c>
      <c r="G128" s="63" t="str">
        <f t="shared" si="32"/>
        <v/>
      </c>
      <c r="H128" s="63" t="str">
        <f t="shared" si="32"/>
        <v/>
      </c>
      <c r="I128" s="63" t="str">
        <f t="shared" si="32"/>
        <v/>
      </c>
      <c r="J128" s="63" t="str">
        <f t="shared" si="32"/>
        <v/>
      </c>
      <c r="K128" s="63" t="str">
        <f t="shared" si="32"/>
        <v/>
      </c>
      <c r="L128" s="63" t="str">
        <f t="shared" si="32"/>
        <v/>
      </c>
      <c r="M128" s="63" t="str">
        <f t="shared" si="32"/>
        <v/>
      </c>
      <c r="N128" s="63" t="str">
        <f t="shared" si="32"/>
        <v/>
      </c>
      <c r="O128" s="63" t="str">
        <f t="shared" si="32"/>
        <v/>
      </c>
      <c r="P128" s="63" t="str">
        <f t="shared" si="32"/>
        <v/>
      </c>
      <c r="Q128" s="63" t="str">
        <f t="shared" si="32"/>
        <v/>
      </c>
      <c r="R128" s="63" t="str">
        <f t="shared" si="32"/>
        <v/>
      </c>
      <c r="S128" s="63" t="str">
        <f t="shared" si="32"/>
        <v/>
      </c>
      <c r="T128" s="63" t="str">
        <f t="shared" si="32"/>
        <v/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</row>
    <row r="129" spans="1:261" s="1" customFormat="1" ht="21" hidden="1" x14ac:dyDescent="0.35">
      <c r="A129"/>
      <c r="B129"/>
      <c r="C129" s="123"/>
      <c r="D129" s="59" t="str">
        <f t="shared" si="31"/>
        <v/>
      </c>
      <c r="E129" s="63" t="str">
        <f t="shared" si="32"/>
        <v/>
      </c>
      <c r="F129" s="63" t="str">
        <f t="shared" si="32"/>
        <v/>
      </c>
      <c r="G129" s="63" t="str">
        <f t="shared" si="32"/>
        <v/>
      </c>
      <c r="H129" s="63" t="str">
        <f t="shared" si="32"/>
        <v/>
      </c>
      <c r="I129" s="63" t="str">
        <f t="shared" si="32"/>
        <v/>
      </c>
      <c r="J129" s="63" t="str">
        <f t="shared" si="32"/>
        <v/>
      </c>
      <c r="K129" s="63" t="str">
        <f t="shared" si="32"/>
        <v/>
      </c>
      <c r="L129" s="63" t="str">
        <f t="shared" si="32"/>
        <v/>
      </c>
      <c r="M129" s="63" t="str">
        <f t="shared" si="32"/>
        <v/>
      </c>
      <c r="N129" s="63" t="str">
        <f t="shared" si="32"/>
        <v/>
      </c>
      <c r="O129" s="63" t="str">
        <f t="shared" si="32"/>
        <v/>
      </c>
      <c r="P129" s="63" t="str">
        <f t="shared" si="32"/>
        <v/>
      </c>
      <c r="Q129" s="63" t="str">
        <f t="shared" si="32"/>
        <v/>
      </c>
      <c r="R129" s="63" t="str">
        <f t="shared" si="32"/>
        <v/>
      </c>
      <c r="S129" s="63" t="str">
        <f t="shared" si="32"/>
        <v/>
      </c>
      <c r="T129" s="63" t="str">
        <f t="shared" si="32"/>
        <v/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</row>
    <row r="130" spans="1:261" s="1" customFormat="1" ht="21" hidden="1" x14ac:dyDescent="0.35">
      <c r="A130"/>
      <c r="B130"/>
      <c r="C130" s="123"/>
      <c r="D130" s="59" t="str">
        <f t="shared" si="31"/>
        <v/>
      </c>
      <c r="E130" s="63" t="str">
        <f t="shared" si="32"/>
        <v/>
      </c>
      <c r="F130" s="63" t="str">
        <f t="shared" si="32"/>
        <v/>
      </c>
      <c r="G130" s="63" t="str">
        <f t="shared" si="32"/>
        <v/>
      </c>
      <c r="H130" s="63" t="str">
        <f t="shared" si="32"/>
        <v/>
      </c>
      <c r="I130" s="63" t="str">
        <f t="shared" si="32"/>
        <v/>
      </c>
      <c r="J130" s="63" t="str">
        <f t="shared" si="32"/>
        <v/>
      </c>
      <c r="K130" s="63" t="str">
        <f t="shared" si="32"/>
        <v/>
      </c>
      <c r="L130" s="63" t="str">
        <f t="shared" si="32"/>
        <v/>
      </c>
      <c r="M130" s="63" t="str">
        <f t="shared" si="32"/>
        <v/>
      </c>
      <c r="N130" s="63" t="str">
        <f t="shared" si="32"/>
        <v/>
      </c>
      <c r="O130" s="63" t="str">
        <f t="shared" si="32"/>
        <v/>
      </c>
      <c r="P130" s="63" t="str">
        <f t="shared" si="32"/>
        <v/>
      </c>
      <c r="Q130" s="63" t="str">
        <f t="shared" si="32"/>
        <v/>
      </c>
      <c r="R130" s="63" t="str">
        <f t="shared" si="32"/>
        <v/>
      </c>
      <c r="S130" s="63" t="str">
        <f t="shared" si="32"/>
        <v/>
      </c>
      <c r="T130" s="63" t="str">
        <f t="shared" si="32"/>
        <v/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</row>
    <row r="131" spans="1:261" s="1" customFormat="1" ht="21" hidden="1" x14ac:dyDescent="0.35">
      <c r="A131"/>
      <c r="B131"/>
      <c r="C131" s="123"/>
      <c r="D131" s="59" t="str">
        <f t="shared" si="31"/>
        <v/>
      </c>
      <c r="E131" s="63" t="str">
        <f t="shared" si="32"/>
        <v/>
      </c>
      <c r="F131" s="63" t="str">
        <f t="shared" si="32"/>
        <v/>
      </c>
      <c r="G131" s="63" t="str">
        <f t="shared" si="32"/>
        <v/>
      </c>
      <c r="H131" s="63" t="str">
        <f t="shared" si="32"/>
        <v/>
      </c>
      <c r="I131" s="63" t="str">
        <f t="shared" si="32"/>
        <v/>
      </c>
      <c r="J131" s="63" t="str">
        <f t="shared" si="32"/>
        <v/>
      </c>
      <c r="K131" s="63" t="str">
        <f t="shared" si="32"/>
        <v/>
      </c>
      <c r="L131" s="63" t="str">
        <f t="shared" si="32"/>
        <v/>
      </c>
      <c r="M131" s="63" t="str">
        <f t="shared" si="32"/>
        <v/>
      </c>
      <c r="N131" s="63" t="str">
        <f t="shared" si="32"/>
        <v/>
      </c>
      <c r="O131" s="63" t="str">
        <f t="shared" si="32"/>
        <v/>
      </c>
      <c r="P131" s="63" t="str">
        <f t="shared" si="32"/>
        <v/>
      </c>
      <c r="Q131" s="63" t="str">
        <f t="shared" si="32"/>
        <v/>
      </c>
      <c r="R131" s="63" t="str">
        <f t="shared" si="32"/>
        <v/>
      </c>
      <c r="S131" s="63" t="str">
        <f t="shared" si="32"/>
        <v/>
      </c>
      <c r="T131" s="63" t="str">
        <f t="shared" si="32"/>
        <v/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</row>
    <row r="132" spans="1:261" s="1" customFormat="1" ht="21" hidden="1" x14ac:dyDescent="0.35">
      <c r="A132"/>
      <c r="B132"/>
      <c r="C132" s="124"/>
      <c r="D132" s="59" t="str">
        <f t="shared" si="31"/>
        <v/>
      </c>
      <c r="E132" s="63" t="str">
        <f t="shared" si="32"/>
        <v/>
      </c>
      <c r="F132" s="63" t="str">
        <f t="shared" si="32"/>
        <v/>
      </c>
      <c r="G132" s="63" t="str">
        <f t="shared" si="32"/>
        <v/>
      </c>
      <c r="H132" s="63" t="str">
        <f t="shared" si="32"/>
        <v/>
      </c>
      <c r="I132" s="63" t="str">
        <f t="shared" si="32"/>
        <v/>
      </c>
      <c r="J132" s="63" t="str">
        <f t="shared" si="32"/>
        <v/>
      </c>
      <c r="K132" s="63" t="str">
        <f t="shared" si="32"/>
        <v/>
      </c>
      <c r="L132" s="63" t="str">
        <f t="shared" si="32"/>
        <v/>
      </c>
      <c r="M132" s="63" t="str">
        <f t="shared" si="32"/>
        <v/>
      </c>
      <c r="N132" s="63" t="str">
        <f t="shared" si="32"/>
        <v/>
      </c>
      <c r="O132" s="63" t="str">
        <f t="shared" si="32"/>
        <v/>
      </c>
      <c r="P132" s="63" t="str">
        <f t="shared" si="32"/>
        <v/>
      </c>
      <c r="Q132" s="63" t="str">
        <f t="shared" si="32"/>
        <v/>
      </c>
      <c r="R132" s="63" t="str">
        <f t="shared" si="32"/>
        <v/>
      </c>
      <c r="S132" s="63" t="str">
        <f t="shared" si="32"/>
        <v/>
      </c>
      <c r="T132" s="63" t="str">
        <f t="shared" si="32"/>
        <v/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</row>
    <row r="133" spans="1:261" s="1" customFormat="1" ht="21" hidden="1" x14ac:dyDescent="0.35">
      <c r="A133"/>
      <c r="B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</row>
    <row r="134" spans="1:261" s="1" customFormat="1" ht="21" hidden="1" x14ac:dyDescent="0.35">
      <c r="A134"/>
      <c r="B134"/>
      <c r="C134" s="122" t="s">
        <v>58</v>
      </c>
      <c r="D134" s="59" t="s">
        <v>55</v>
      </c>
      <c r="E134" s="59">
        <v>0.01</v>
      </c>
      <c r="F134" s="59">
        <v>1.4999999999999999E-2</v>
      </c>
      <c r="G134" s="59">
        <v>2.5000000000000001E-2</v>
      </c>
      <c r="H134" s="59">
        <v>0.04</v>
      </c>
      <c r="I134" s="59">
        <v>6.5000000000000002E-2</v>
      </c>
      <c r="J134" s="59">
        <v>0.1</v>
      </c>
      <c r="K134" s="59">
        <v>0.15</v>
      </c>
      <c r="L134" s="59">
        <v>0.25</v>
      </c>
      <c r="M134" s="59">
        <v>0.4</v>
      </c>
      <c r="N134" s="59">
        <v>0.65</v>
      </c>
      <c r="O134" s="59">
        <v>1</v>
      </c>
      <c r="P134" s="59">
        <v>1.5</v>
      </c>
      <c r="Q134" s="59">
        <v>2.5</v>
      </c>
      <c r="R134" s="59">
        <v>4</v>
      </c>
      <c r="S134" s="59">
        <v>6.5</v>
      </c>
      <c r="T134" s="59">
        <v>10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</row>
    <row r="135" spans="1:261" s="1" customFormat="1" ht="21" hidden="1" x14ac:dyDescent="0.35">
      <c r="A135"/>
      <c r="B135"/>
      <c r="C135" s="123"/>
      <c r="D135" s="59">
        <f t="shared" ref="D135:D147" si="33">IF($W$12=D120,D120,"")</f>
        <v>6</v>
      </c>
      <c r="E135" s="63">
        <f t="shared" ref="E135:T147" si="34">IF(ISNUMBER($D135),E120,"")</f>
        <v>3.9980000000000002E-2</v>
      </c>
      <c r="F135" s="63">
        <f t="shared" si="34"/>
        <v>6.2649999999999997E-2</v>
      </c>
      <c r="G135" s="63">
        <f t="shared" si="34"/>
        <v>0.10009999999999999</v>
      </c>
      <c r="H135" s="63">
        <f t="shared" si="34"/>
        <v>0.1593</v>
      </c>
      <c r="I135" s="63">
        <f t="shared" si="34"/>
        <v>0.25109999999999999</v>
      </c>
      <c r="J135" s="63">
        <f t="shared" si="34"/>
        <v>0.40210000000000001</v>
      </c>
      <c r="K135" s="63">
        <f t="shared" si="34"/>
        <v>0.62990000000000002</v>
      </c>
      <c r="L135" s="63">
        <f t="shared" si="34"/>
        <v>1.012</v>
      </c>
      <c r="M135" s="63">
        <f t="shared" si="34"/>
        <v>1.62</v>
      </c>
      <c r="N135" s="63">
        <f t="shared" si="34"/>
        <v>2.5779999999999998</v>
      </c>
      <c r="O135" s="63">
        <f t="shared" si="34"/>
        <v>4.1959999999999997</v>
      </c>
      <c r="P135" s="63">
        <f t="shared" si="34"/>
        <v>6.7240000000000002</v>
      </c>
      <c r="Q135" s="63">
        <f t="shared" si="34"/>
        <v>9.2460000000000004</v>
      </c>
      <c r="R135" s="63">
        <f t="shared" si="34"/>
        <v>13.29</v>
      </c>
      <c r="S135" s="63">
        <f t="shared" si="34"/>
        <v>19.02</v>
      </c>
      <c r="T135" s="63">
        <f t="shared" si="34"/>
        <v>29.03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</row>
    <row r="136" spans="1:261" s="1" customFormat="1" ht="21" hidden="1" x14ac:dyDescent="0.35">
      <c r="A136"/>
      <c r="B136"/>
      <c r="C136" s="123"/>
      <c r="D136" s="59" t="str">
        <f t="shared" si="33"/>
        <v/>
      </c>
      <c r="E136" s="63" t="str">
        <f t="shared" si="34"/>
        <v/>
      </c>
      <c r="F136" s="63" t="str">
        <f t="shared" si="34"/>
        <v/>
      </c>
      <c r="G136" s="63" t="str">
        <f t="shared" si="34"/>
        <v/>
      </c>
      <c r="H136" s="63" t="str">
        <f t="shared" si="34"/>
        <v/>
      </c>
      <c r="I136" s="63" t="str">
        <f t="shared" si="34"/>
        <v/>
      </c>
      <c r="J136" s="63" t="str">
        <f t="shared" si="34"/>
        <v/>
      </c>
      <c r="K136" s="63" t="str">
        <f t="shared" si="34"/>
        <v/>
      </c>
      <c r="L136" s="63" t="str">
        <f t="shared" si="34"/>
        <v/>
      </c>
      <c r="M136" s="63" t="str">
        <f t="shared" si="34"/>
        <v/>
      </c>
      <c r="N136" s="63" t="str">
        <f t="shared" si="34"/>
        <v/>
      </c>
      <c r="O136" s="63" t="str">
        <f t="shared" si="34"/>
        <v/>
      </c>
      <c r="P136" s="63" t="str">
        <f t="shared" si="34"/>
        <v/>
      </c>
      <c r="Q136" s="63" t="str">
        <f t="shared" si="34"/>
        <v/>
      </c>
      <c r="R136" s="63" t="str">
        <f t="shared" si="34"/>
        <v/>
      </c>
      <c r="S136" s="63" t="str">
        <f t="shared" si="34"/>
        <v/>
      </c>
      <c r="T136" s="63" t="str">
        <f t="shared" si="34"/>
        <v/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</row>
    <row r="137" spans="1:261" s="1" customFormat="1" ht="21" hidden="1" x14ac:dyDescent="0.35">
      <c r="A137"/>
      <c r="B137"/>
      <c r="C137" s="123"/>
      <c r="D137" s="59" t="str">
        <f t="shared" si="33"/>
        <v/>
      </c>
      <c r="E137" s="63" t="str">
        <f t="shared" si="34"/>
        <v/>
      </c>
      <c r="F137" s="63" t="str">
        <f t="shared" si="34"/>
        <v/>
      </c>
      <c r="G137" s="63" t="str">
        <f t="shared" si="34"/>
        <v/>
      </c>
      <c r="H137" s="63" t="str">
        <f t="shared" si="34"/>
        <v/>
      </c>
      <c r="I137" s="63" t="str">
        <f t="shared" si="34"/>
        <v/>
      </c>
      <c r="J137" s="63" t="str">
        <f t="shared" si="34"/>
        <v/>
      </c>
      <c r="K137" s="63" t="str">
        <f t="shared" si="34"/>
        <v/>
      </c>
      <c r="L137" s="63" t="str">
        <f t="shared" si="34"/>
        <v/>
      </c>
      <c r="M137" s="63" t="str">
        <f t="shared" si="34"/>
        <v/>
      </c>
      <c r="N137" s="63" t="str">
        <f t="shared" si="34"/>
        <v/>
      </c>
      <c r="O137" s="63" t="str">
        <f t="shared" si="34"/>
        <v/>
      </c>
      <c r="P137" s="63" t="str">
        <f t="shared" si="34"/>
        <v/>
      </c>
      <c r="Q137" s="63" t="str">
        <f t="shared" si="34"/>
        <v/>
      </c>
      <c r="R137" s="63" t="str">
        <f t="shared" si="34"/>
        <v/>
      </c>
      <c r="S137" s="63" t="str">
        <f t="shared" si="34"/>
        <v/>
      </c>
      <c r="T137" s="63" t="str">
        <f t="shared" si="34"/>
        <v/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</row>
    <row r="138" spans="1:261" s="1" customFormat="1" ht="21" hidden="1" x14ac:dyDescent="0.35">
      <c r="A138"/>
      <c r="B138"/>
      <c r="C138" s="123"/>
      <c r="D138" s="59" t="str">
        <f t="shared" si="33"/>
        <v/>
      </c>
      <c r="E138" s="63" t="str">
        <f t="shared" si="34"/>
        <v/>
      </c>
      <c r="F138" s="63" t="str">
        <f t="shared" si="34"/>
        <v/>
      </c>
      <c r="G138" s="63" t="str">
        <f t="shared" si="34"/>
        <v/>
      </c>
      <c r="H138" s="63" t="str">
        <f t="shared" si="34"/>
        <v/>
      </c>
      <c r="I138" s="63" t="str">
        <f t="shared" si="34"/>
        <v/>
      </c>
      <c r="J138" s="63" t="str">
        <f t="shared" si="34"/>
        <v/>
      </c>
      <c r="K138" s="63" t="str">
        <f t="shared" si="34"/>
        <v/>
      </c>
      <c r="L138" s="63" t="str">
        <f t="shared" si="34"/>
        <v/>
      </c>
      <c r="M138" s="63" t="str">
        <f t="shared" si="34"/>
        <v/>
      </c>
      <c r="N138" s="63" t="str">
        <f t="shared" si="34"/>
        <v/>
      </c>
      <c r="O138" s="63" t="str">
        <f t="shared" si="34"/>
        <v/>
      </c>
      <c r="P138" s="63" t="str">
        <f t="shared" si="34"/>
        <v/>
      </c>
      <c r="Q138" s="63" t="str">
        <f t="shared" si="34"/>
        <v/>
      </c>
      <c r="R138" s="63" t="str">
        <f t="shared" si="34"/>
        <v/>
      </c>
      <c r="S138" s="63" t="str">
        <f t="shared" si="34"/>
        <v/>
      </c>
      <c r="T138" s="63" t="str">
        <f t="shared" si="34"/>
        <v/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</row>
    <row r="139" spans="1:261" s="1" customFormat="1" ht="21" hidden="1" x14ac:dyDescent="0.35">
      <c r="A139"/>
      <c r="B139"/>
      <c r="C139" s="123"/>
      <c r="D139" s="59" t="str">
        <f t="shared" si="33"/>
        <v/>
      </c>
      <c r="E139" s="63" t="str">
        <f t="shared" si="34"/>
        <v/>
      </c>
      <c r="F139" s="63" t="str">
        <f t="shared" si="34"/>
        <v/>
      </c>
      <c r="G139" s="63" t="str">
        <f t="shared" si="34"/>
        <v/>
      </c>
      <c r="H139" s="63" t="str">
        <f t="shared" si="34"/>
        <v/>
      </c>
      <c r="I139" s="63" t="str">
        <f t="shared" si="34"/>
        <v/>
      </c>
      <c r="J139" s="63" t="str">
        <f t="shared" si="34"/>
        <v/>
      </c>
      <c r="K139" s="63" t="str">
        <f t="shared" si="34"/>
        <v/>
      </c>
      <c r="L139" s="63" t="str">
        <f t="shared" si="34"/>
        <v/>
      </c>
      <c r="M139" s="63" t="str">
        <f t="shared" si="34"/>
        <v/>
      </c>
      <c r="N139" s="63" t="str">
        <f t="shared" si="34"/>
        <v/>
      </c>
      <c r="O139" s="63" t="str">
        <f t="shared" si="34"/>
        <v/>
      </c>
      <c r="P139" s="63" t="str">
        <f t="shared" si="34"/>
        <v/>
      </c>
      <c r="Q139" s="63" t="str">
        <f t="shared" si="34"/>
        <v/>
      </c>
      <c r="R139" s="63" t="str">
        <f t="shared" si="34"/>
        <v/>
      </c>
      <c r="S139" s="63" t="str">
        <f t="shared" si="34"/>
        <v/>
      </c>
      <c r="T139" s="63" t="str">
        <f t="shared" si="34"/>
        <v/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</row>
    <row r="140" spans="1:261" s="1" customFormat="1" ht="21" hidden="1" x14ac:dyDescent="0.35">
      <c r="A140"/>
      <c r="B140"/>
      <c r="C140" s="123"/>
      <c r="D140" s="59" t="str">
        <f t="shared" si="33"/>
        <v/>
      </c>
      <c r="E140" s="63" t="str">
        <f t="shared" si="34"/>
        <v/>
      </c>
      <c r="F140" s="63" t="str">
        <f t="shared" si="34"/>
        <v/>
      </c>
      <c r="G140" s="63" t="str">
        <f t="shared" si="34"/>
        <v/>
      </c>
      <c r="H140" s="63" t="str">
        <f t="shared" si="34"/>
        <v/>
      </c>
      <c r="I140" s="63" t="str">
        <f t="shared" si="34"/>
        <v/>
      </c>
      <c r="J140" s="63" t="str">
        <f t="shared" si="34"/>
        <v/>
      </c>
      <c r="K140" s="63" t="str">
        <f t="shared" si="34"/>
        <v/>
      </c>
      <c r="L140" s="63" t="str">
        <f t="shared" si="34"/>
        <v/>
      </c>
      <c r="M140" s="63" t="str">
        <f t="shared" si="34"/>
        <v/>
      </c>
      <c r="N140" s="63" t="str">
        <f t="shared" si="34"/>
        <v/>
      </c>
      <c r="O140" s="63" t="str">
        <f t="shared" si="34"/>
        <v/>
      </c>
      <c r="P140" s="63" t="str">
        <f t="shared" si="34"/>
        <v/>
      </c>
      <c r="Q140" s="63" t="str">
        <f t="shared" si="34"/>
        <v/>
      </c>
      <c r="R140" s="63" t="str">
        <f t="shared" si="34"/>
        <v/>
      </c>
      <c r="S140" s="63" t="str">
        <f t="shared" si="34"/>
        <v/>
      </c>
      <c r="T140" s="63" t="str">
        <f t="shared" si="34"/>
        <v/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</row>
    <row r="141" spans="1:261" s="1" customFormat="1" ht="21" hidden="1" x14ac:dyDescent="0.35">
      <c r="A141"/>
      <c r="B141"/>
      <c r="C141" s="123"/>
      <c r="D141" s="59" t="str">
        <f t="shared" si="33"/>
        <v/>
      </c>
      <c r="E141" s="63" t="str">
        <f t="shared" si="34"/>
        <v/>
      </c>
      <c r="F141" s="63" t="str">
        <f t="shared" si="34"/>
        <v/>
      </c>
      <c r="G141" s="63" t="str">
        <f t="shared" si="34"/>
        <v/>
      </c>
      <c r="H141" s="63" t="str">
        <f t="shared" si="34"/>
        <v/>
      </c>
      <c r="I141" s="63" t="str">
        <f t="shared" si="34"/>
        <v/>
      </c>
      <c r="J141" s="63" t="str">
        <f t="shared" si="34"/>
        <v/>
      </c>
      <c r="K141" s="63" t="str">
        <f t="shared" si="34"/>
        <v/>
      </c>
      <c r="L141" s="63" t="str">
        <f t="shared" si="34"/>
        <v/>
      </c>
      <c r="M141" s="63" t="str">
        <f t="shared" si="34"/>
        <v/>
      </c>
      <c r="N141" s="63" t="str">
        <f t="shared" si="34"/>
        <v/>
      </c>
      <c r="O141" s="63" t="str">
        <f t="shared" si="34"/>
        <v/>
      </c>
      <c r="P141" s="63" t="str">
        <f t="shared" si="34"/>
        <v/>
      </c>
      <c r="Q141" s="63" t="str">
        <f t="shared" si="34"/>
        <v/>
      </c>
      <c r="R141" s="63" t="str">
        <f t="shared" si="34"/>
        <v/>
      </c>
      <c r="S141" s="63" t="str">
        <f t="shared" si="34"/>
        <v/>
      </c>
      <c r="T141" s="63" t="str">
        <f t="shared" si="34"/>
        <v/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</row>
    <row r="142" spans="1:261" s="1" customFormat="1" ht="21" hidden="1" x14ac:dyDescent="0.35">
      <c r="A142"/>
      <c r="B142"/>
      <c r="C142" s="123"/>
      <c r="D142" s="59" t="str">
        <f t="shared" si="33"/>
        <v/>
      </c>
      <c r="E142" s="63" t="str">
        <f t="shared" si="34"/>
        <v/>
      </c>
      <c r="F142" s="63" t="str">
        <f t="shared" si="34"/>
        <v/>
      </c>
      <c r="G142" s="63" t="str">
        <f t="shared" si="34"/>
        <v/>
      </c>
      <c r="H142" s="63" t="str">
        <f t="shared" si="34"/>
        <v/>
      </c>
      <c r="I142" s="63" t="str">
        <f t="shared" si="34"/>
        <v/>
      </c>
      <c r="J142" s="63" t="str">
        <f t="shared" si="34"/>
        <v/>
      </c>
      <c r="K142" s="63" t="str">
        <f t="shared" si="34"/>
        <v/>
      </c>
      <c r="L142" s="63" t="str">
        <f t="shared" si="34"/>
        <v/>
      </c>
      <c r="M142" s="63" t="str">
        <f t="shared" si="34"/>
        <v/>
      </c>
      <c r="N142" s="63" t="str">
        <f t="shared" si="34"/>
        <v/>
      </c>
      <c r="O142" s="63" t="str">
        <f t="shared" si="34"/>
        <v/>
      </c>
      <c r="P142" s="63" t="str">
        <f t="shared" si="34"/>
        <v/>
      </c>
      <c r="Q142" s="63" t="str">
        <f t="shared" si="34"/>
        <v/>
      </c>
      <c r="R142" s="63" t="str">
        <f t="shared" si="34"/>
        <v/>
      </c>
      <c r="S142" s="63" t="str">
        <f t="shared" si="34"/>
        <v/>
      </c>
      <c r="T142" s="63" t="str">
        <f t="shared" si="34"/>
        <v/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</row>
    <row r="143" spans="1:261" s="1" customFormat="1" ht="21" hidden="1" x14ac:dyDescent="0.35">
      <c r="A143"/>
      <c r="B143"/>
      <c r="C143" s="123"/>
      <c r="D143" s="59" t="str">
        <f t="shared" si="33"/>
        <v/>
      </c>
      <c r="E143" s="63" t="str">
        <f t="shared" si="34"/>
        <v/>
      </c>
      <c r="F143" s="63" t="str">
        <f t="shared" si="34"/>
        <v/>
      </c>
      <c r="G143" s="63" t="str">
        <f t="shared" si="34"/>
        <v/>
      </c>
      <c r="H143" s="63" t="str">
        <f t="shared" si="34"/>
        <v/>
      </c>
      <c r="I143" s="63" t="str">
        <f t="shared" si="34"/>
        <v/>
      </c>
      <c r="J143" s="63" t="str">
        <f t="shared" si="34"/>
        <v/>
      </c>
      <c r="K143" s="63" t="str">
        <f t="shared" si="34"/>
        <v/>
      </c>
      <c r="L143" s="63" t="str">
        <f t="shared" si="34"/>
        <v/>
      </c>
      <c r="M143" s="63" t="str">
        <f t="shared" si="34"/>
        <v/>
      </c>
      <c r="N143" s="63" t="str">
        <f t="shared" si="34"/>
        <v/>
      </c>
      <c r="O143" s="63" t="str">
        <f t="shared" si="34"/>
        <v/>
      </c>
      <c r="P143" s="63" t="str">
        <f t="shared" si="34"/>
        <v/>
      </c>
      <c r="Q143" s="63" t="str">
        <f t="shared" si="34"/>
        <v/>
      </c>
      <c r="R143" s="63" t="str">
        <f t="shared" si="34"/>
        <v/>
      </c>
      <c r="S143" s="63" t="str">
        <f t="shared" si="34"/>
        <v/>
      </c>
      <c r="T143" s="63" t="str">
        <f t="shared" si="34"/>
        <v/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</row>
    <row r="144" spans="1:261" s="1" customFormat="1" ht="21" hidden="1" x14ac:dyDescent="0.35">
      <c r="A144"/>
      <c r="B144"/>
      <c r="C144" s="123"/>
      <c r="D144" s="59" t="str">
        <f t="shared" si="33"/>
        <v/>
      </c>
      <c r="E144" s="63" t="str">
        <f t="shared" si="34"/>
        <v/>
      </c>
      <c r="F144" s="63" t="str">
        <f t="shared" si="34"/>
        <v/>
      </c>
      <c r="G144" s="63" t="str">
        <f t="shared" si="34"/>
        <v/>
      </c>
      <c r="H144" s="63" t="str">
        <f t="shared" si="34"/>
        <v/>
      </c>
      <c r="I144" s="63" t="str">
        <f t="shared" si="34"/>
        <v/>
      </c>
      <c r="J144" s="63" t="str">
        <f t="shared" si="34"/>
        <v/>
      </c>
      <c r="K144" s="63" t="str">
        <f t="shared" si="34"/>
        <v/>
      </c>
      <c r="L144" s="63" t="str">
        <f t="shared" si="34"/>
        <v/>
      </c>
      <c r="M144" s="63" t="str">
        <f t="shared" si="34"/>
        <v/>
      </c>
      <c r="N144" s="63" t="str">
        <f t="shared" si="34"/>
        <v/>
      </c>
      <c r="O144" s="63" t="str">
        <f t="shared" si="34"/>
        <v/>
      </c>
      <c r="P144" s="63" t="str">
        <f t="shared" si="34"/>
        <v/>
      </c>
      <c r="Q144" s="63" t="str">
        <f t="shared" si="34"/>
        <v/>
      </c>
      <c r="R144" s="63" t="str">
        <f t="shared" si="34"/>
        <v/>
      </c>
      <c r="S144" s="63" t="str">
        <f t="shared" si="34"/>
        <v/>
      </c>
      <c r="T144" s="63" t="str">
        <f t="shared" si="34"/>
        <v/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</row>
    <row r="145" spans="1:261" s="1" customFormat="1" ht="21" hidden="1" x14ac:dyDescent="0.35">
      <c r="A145"/>
      <c r="B145"/>
      <c r="C145" s="123"/>
      <c r="D145" s="59" t="str">
        <f t="shared" si="33"/>
        <v/>
      </c>
      <c r="E145" s="63" t="str">
        <f t="shared" si="34"/>
        <v/>
      </c>
      <c r="F145" s="63" t="str">
        <f t="shared" si="34"/>
        <v/>
      </c>
      <c r="G145" s="63" t="str">
        <f t="shared" si="34"/>
        <v/>
      </c>
      <c r="H145" s="63" t="str">
        <f t="shared" si="34"/>
        <v/>
      </c>
      <c r="I145" s="63" t="str">
        <f t="shared" si="34"/>
        <v/>
      </c>
      <c r="J145" s="63" t="str">
        <f t="shared" si="34"/>
        <v/>
      </c>
      <c r="K145" s="63" t="str">
        <f t="shared" si="34"/>
        <v/>
      </c>
      <c r="L145" s="63" t="str">
        <f t="shared" si="34"/>
        <v/>
      </c>
      <c r="M145" s="63" t="str">
        <f t="shared" si="34"/>
        <v/>
      </c>
      <c r="N145" s="63" t="str">
        <f t="shared" si="34"/>
        <v/>
      </c>
      <c r="O145" s="63" t="str">
        <f t="shared" si="34"/>
        <v/>
      </c>
      <c r="P145" s="63" t="str">
        <f t="shared" si="34"/>
        <v/>
      </c>
      <c r="Q145" s="63" t="str">
        <f t="shared" si="34"/>
        <v/>
      </c>
      <c r="R145" s="63" t="str">
        <f t="shared" si="34"/>
        <v/>
      </c>
      <c r="S145" s="63" t="str">
        <f t="shared" si="34"/>
        <v/>
      </c>
      <c r="T145" s="63" t="str">
        <f t="shared" si="34"/>
        <v/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</row>
    <row r="146" spans="1:261" s="1" customFormat="1" ht="21" hidden="1" x14ac:dyDescent="0.35">
      <c r="A146"/>
      <c r="B146"/>
      <c r="C146" s="123"/>
      <c r="D146" s="59" t="str">
        <f t="shared" si="33"/>
        <v/>
      </c>
      <c r="E146" s="63" t="str">
        <f t="shared" si="34"/>
        <v/>
      </c>
      <c r="F146" s="63" t="str">
        <f t="shared" si="34"/>
        <v/>
      </c>
      <c r="G146" s="63" t="str">
        <f t="shared" si="34"/>
        <v/>
      </c>
      <c r="H146" s="63" t="str">
        <f t="shared" si="34"/>
        <v/>
      </c>
      <c r="I146" s="63" t="str">
        <f t="shared" si="34"/>
        <v/>
      </c>
      <c r="J146" s="63" t="str">
        <f t="shared" si="34"/>
        <v/>
      </c>
      <c r="K146" s="63" t="str">
        <f t="shared" si="34"/>
        <v/>
      </c>
      <c r="L146" s="63" t="str">
        <f t="shared" si="34"/>
        <v/>
      </c>
      <c r="M146" s="63" t="str">
        <f t="shared" si="34"/>
        <v/>
      </c>
      <c r="N146" s="63" t="str">
        <f t="shared" si="34"/>
        <v/>
      </c>
      <c r="O146" s="63" t="str">
        <f t="shared" si="34"/>
        <v/>
      </c>
      <c r="P146" s="63" t="str">
        <f t="shared" si="34"/>
        <v/>
      </c>
      <c r="Q146" s="63" t="str">
        <f t="shared" si="34"/>
        <v/>
      </c>
      <c r="R146" s="63" t="str">
        <f t="shared" si="34"/>
        <v/>
      </c>
      <c r="S146" s="63" t="str">
        <f t="shared" si="34"/>
        <v/>
      </c>
      <c r="T146" s="63" t="str">
        <f t="shared" si="34"/>
        <v/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</row>
    <row r="147" spans="1:261" s="1" customFormat="1" ht="21" hidden="1" x14ac:dyDescent="0.35">
      <c r="A147"/>
      <c r="B147"/>
      <c r="C147" s="124"/>
      <c r="D147" s="59" t="str">
        <f t="shared" si="33"/>
        <v/>
      </c>
      <c r="E147" s="63" t="str">
        <f t="shared" si="34"/>
        <v/>
      </c>
      <c r="F147" s="63" t="str">
        <f t="shared" si="34"/>
        <v/>
      </c>
      <c r="G147" s="63" t="str">
        <f t="shared" si="34"/>
        <v/>
      </c>
      <c r="H147" s="63" t="str">
        <f t="shared" si="34"/>
        <v/>
      </c>
      <c r="I147" s="63" t="str">
        <f t="shared" si="34"/>
        <v/>
      </c>
      <c r="J147" s="63" t="str">
        <f t="shared" si="34"/>
        <v/>
      </c>
      <c r="K147" s="63" t="str">
        <f t="shared" si="34"/>
        <v/>
      </c>
      <c r="L147" s="63" t="str">
        <f t="shared" si="34"/>
        <v/>
      </c>
      <c r="M147" s="63" t="str">
        <f t="shared" si="34"/>
        <v/>
      </c>
      <c r="N147" s="63" t="str">
        <f t="shared" si="34"/>
        <v/>
      </c>
      <c r="O147" s="63" t="str">
        <f t="shared" si="34"/>
        <v/>
      </c>
      <c r="P147" s="63" t="str">
        <f t="shared" si="34"/>
        <v/>
      </c>
      <c r="Q147" s="63" t="str">
        <f t="shared" si="34"/>
        <v/>
      </c>
      <c r="R147" s="63" t="str">
        <f t="shared" si="34"/>
        <v/>
      </c>
      <c r="S147" s="63" t="str">
        <f t="shared" si="34"/>
        <v/>
      </c>
      <c r="T147" s="63" t="str">
        <f t="shared" si="34"/>
        <v/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</row>
    <row r="148" spans="1:261" s="1" customFormat="1" ht="21" hidden="1" x14ac:dyDescent="0.35">
      <c r="A148"/>
      <c r="B148"/>
      <c r="D148" s="64" t="s">
        <v>59</v>
      </c>
      <c r="E148" s="63">
        <f>SUM(E135:E147)</f>
        <v>3.9980000000000002E-2</v>
      </c>
      <c r="F148" s="63">
        <f t="shared" ref="F148:T148" si="35">SUM(F135:F147)</f>
        <v>6.2649999999999997E-2</v>
      </c>
      <c r="G148" s="63">
        <f t="shared" si="35"/>
        <v>0.10009999999999999</v>
      </c>
      <c r="H148" s="63">
        <f t="shared" si="35"/>
        <v>0.1593</v>
      </c>
      <c r="I148" s="63">
        <f t="shared" si="35"/>
        <v>0.25109999999999999</v>
      </c>
      <c r="J148" s="63">
        <f t="shared" si="35"/>
        <v>0.40210000000000001</v>
      </c>
      <c r="K148" s="63">
        <f t="shared" si="35"/>
        <v>0.62990000000000002</v>
      </c>
      <c r="L148" s="63">
        <f t="shared" si="35"/>
        <v>1.012</v>
      </c>
      <c r="M148" s="63">
        <f t="shared" si="35"/>
        <v>1.62</v>
      </c>
      <c r="N148" s="63">
        <f t="shared" si="35"/>
        <v>2.5779999999999998</v>
      </c>
      <c r="O148" s="63">
        <f t="shared" si="35"/>
        <v>4.1959999999999997</v>
      </c>
      <c r="P148" s="63">
        <f t="shared" si="35"/>
        <v>6.7240000000000002</v>
      </c>
      <c r="Q148" s="63">
        <f t="shared" si="35"/>
        <v>9.2460000000000004</v>
      </c>
      <c r="R148" s="63">
        <f t="shared" si="35"/>
        <v>13.29</v>
      </c>
      <c r="S148" s="63">
        <f t="shared" si="35"/>
        <v>19.02</v>
      </c>
      <c r="T148" s="63">
        <f t="shared" si="35"/>
        <v>29.03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</row>
    <row r="149" spans="1:261" s="1" customFormat="1" ht="21" hidden="1" x14ac:dyDescent="0.35">
      <c r="A149"/>
      <c r="B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</row>
    <row r="150" spans="1:261" s="1" customFormat="1" ht="21" hidden="1" x14ac:dyDescent="0.35">
      <c r="A150"/>
      <c r="B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</row>
    <row r="151" spans="1:261" s="1" customFormat="1" ht="21" x14ac:dyDescent="0.35">
      <c r="A151"/>
      <c r="B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</row>
  </sheetData>
  <protectedRanges>
    <protectedRange sqref="Q11:AC38 E50:IT67" name="Plage1"/>
  </protectedRanges>
  <mergeCells count="145">
    <mergeCell ref="O82:O83"/>
    <mergeCell ref="C134:C147"/>
    <mergeCell ref="E92:E93"/>
    <mergeCell ref="F92:F93"/>
    <mergeCell ref="G92:G93"/>
    <mergeCell ref="O92:O93"/>
    <mergeCell ref="C104:C117"/>
    <mergeCell ref="C119:C132"/>
    <mergeCell ref="E88:E89"/>
    <mergeCell ref="F88:F89"/>
    <mergeCell ref="G88:G89"/>
    <mergeCell ref="O88:O89"/>
    <mergeCell ref="E90:E91"/>
    <mergeCell ref="F90:F91"/>
    <mergeCell ref="G90:G91"/>
    <mergeCell ref="O90:O91"/>
    <mergeCell ref="E76:E77"/>
    <mergeCell ref="F76:F77"/>
    <mergeCell ref="G76:G77"/>
    <mergeCell ref="J76:J102"/>
    <mergeCell ref="O76:O77"/>
    <mergeCell ref="E78:E79"/>
    <mergeCell ref="F78:F79"/>
    <mergeCell ref="G78:G79"/>
    <mergeCell ref="O78:O79"/>
    <mergeCell ref="E80:E81"/>
    <mergeCell ref="E84:E85"/>
    <mergeCell ref="F84:F85"/>
    <mergeCell ref="G84:G85"/>
    <mergeCell ref="O84:O85"/>
    <mergeCell ref="E86:E87"/>
    <mergeCell ref="F86:F87"/>
    <mergeCell ref="G86:G87"/>
    <mergeCell ref="O86:O87"/>
    <mergeCell ref="F80:F81"/>
    <mergeCell ref="G80:G81"/>
    <mergeCell ref="O80:O81"/>
    <mergeCell ref="E82:E83"/>
    <mergeCell ref="F82:F83"/>
    <mergeCell ref="G82:G83"/>
    <mergeCell ref="C50:C58"/>
    <mergeCell ref="C59:C67"/>
    <mergeCell ref="C70:AG72"/>
    <mergeCell ref="E74:M74"/>
    <mergeCell ref="N74:O74"/>
    <mergeCell ref="AC28:AC29"/>
    <mergeCell ref="P30:P38"/>
    <mergeCell ref="X39:Y41"/>
    <mergeCell ref="C43:AG45"/>
    <mergeCell ref="AD39:AF39"/>
    <mergeCell ref="Q28:Q29"/>
    <mergeCell ref="T28:T29"/>
    <mergeCell ref="U28:U29"/>
    <mergeCell ref="V28:V29"/>
    <mergeCell ref="Y28:Y29"/>
    <mergeCell ref="Z28:Z29"/>
    <mergeCell ref="AA28:AA29"/>
    <mergeCell ref="AB28:AB29"/>
    <mergeCell ref="E48:IT48"/>
    <mergeCell ref="AA24:AA25"/>
    <mergeCell ref="AB24:AB25"/>
    <mergeCell ref="AC24:AC25"/>
    <mergeCell ref="Q26:Q27"/>
    <mergeCell ref="T26:T27"/>
    <mergeCell ref="U26:U27"/>
    <mergeCell ref="V26:V27"/>
    <mergeCell ref="Y26:Y27"/>
    <mergeCell ref="Z26:Z27"/>
    <mergeCell ref="AA26:AA27"/>
    <mergeCell ref="Q24:Q25"/>
    <mergeCell ref="T24:T25"/>
    <mergeCell ref="U24:U25"/>
    <mergeCell ref="V24:V25"/>
    <mergeCell ref="Y24:Y25"/>
    <mergeCell ref="Z24:Z25"/>
    <mergeCell ref="AB26:AB27"/>
    <mergeCell ref="AC26:AC27"/>
    <mergeCell ref="Q22:Q23"/>
    <mergeCell ref="T22:T23"/>
    <mergeCell ref="U22:U23"/>
    <mergeCell ref="V22:V23"/>
    <mergeCell ref="Y22:Y23"/>
    <mergeCell ref="Z22:Z23"/>
    <mergeCell ref="AA22:AA23"/>
    <mergeCell ref="AB22:AB23"/>
    <mergeCell ref="AC22:AC23"/>
    <mergeCell ref="Q20:Q21"/>
    <mergeCell ref="T20:T21"/>
    <mergeCell ref="U20:U21"/>
    <mergeCell ref="V20:V21"/>
    <mergeCell ref="Y20:Y21"/>
    <mergeCell ref="Z20:Z21"/>
    <mergeCell ref="AA20:AA21"/>
    <mergeCell ref="AB20:AB21"/>
    <mergeCell ref="AC20:AC21"/>
    <mergeCell ref="Q18:Q19"/>
    <mergeCell ref="T18:T19"/>
    <mergeCell ref="U18:U19"/>
    <mergeCell ref="V18:V19"/>
    <mergeCell ref="Y18:Y19"/>
    <mergeCell ref="Z18:Z19"/>
    <mergeCell ref="AA18:AA19"/>
    <mergeCell ref="AB18:AB19"/>
    <mergeCell ref="AC18:AC19"/>
    <mergeCell ref="T14:T15"/>
    <mergeCell ref="U14:U15"/>
    <mergeCell ref="V14:V15"/>
    <mergeCell ref="Y14:Y15"/>
    <mergeCell ref="Z14:Z15"/>
    <mergeCell ref="AA14:AA15"/>
    <mergeCell ref="AB14:AB15"/>
    <mergeCell ref="AC14:AC15"/>
    <mergeCell ref="Q16:Q17"/>
    <mergeCell ref="T16:T17"/>
    <mergeCell ref="U16:U17"/>
    <mergeCell ref="V16:V17"/>
    <mergeCell ref="Y16:Y17"/>
    <mergeCell ref="Z16:Z17"/>
    <mergeCell ref="AA16:AA17"/>
    <mergeCell ref="AB16:AB17"/>
    <mergeCell ref="AC16:AC17"/>
    <mergeCell ref="C6:N7"/>
    <mergeCell ref="P6:AF7"/>
    <mergeCell ref="C9:F10"/>
    <mergeCell ref="Q10:S10"/>
    <mergeCell ref="T10:U10"/>
    <mergeCell ref="V10:W10"/>
    <mergeCell ref="X10:Z10"/>
    <mergeCell ref="AA10:AC10"/>
    <mergeCell ref="AD11:AF11"/>
    <mergeCell ref="R11:S11"/>
    <mergeCell ref="X11:X38"/>
    <mergeCell ref="P12:P29"/>
    <mergeCell ref="Q12:Q13"/>
    <mergeCell ref="T12:T13"/>
    <mergeCell ref="U12:U13"/>
    <mergeCell ref="V12:V13"/>
    <mergeCell ref="W12:W38"/>
    <mergeCell ref="Y12:Y13"/>
    <mergeCell ref="Z12:Z13"/>
    <mergeCell ref="AA12:AA13"/>
    <mergeCell ref="AB12:AB13"/>
    <mergeCell ref="AC12:AC13"/>
    <mergeCell ref="AD12:AD38"/>
    <mergeCell ref="Q14:Q15"/>
  </mergeCells>
  <conditionalFormatting sqref="H76:H102">
    <cfRule type="cellIs" dxfId="13" priority="2" operator="lessThan">
      <formula>0</formula>
    </cfRule>
  </conditionalFormatting>
  <conditionalFormatting sqref="L76:L102">
    <cfRule type="cellIs" dxfId="12" priority="3" operator="lessThan">
      <formula>0</formula>
    </cfRule>
    <cfRule type="cellIs" dxfId="11" priority="4" operator="greaterThan">
      <formula>0</formula>
    </cfRule>
  </conditionalFormatting>
  <conditionalFormatting sqref="L46:AG47 AP46:JA47 L68:JA68">
    <cfRule type="cellIs" dxfId="10" priority="1" operator="lessThan">
      <formula>$F46</formula>
    </cfRule>
  </conditionalFormatting>
  <conditionalFormatting sqref="P39:W41 L42:W42 AP42:AT42 BD42:BG42 BQ42:JA42 AP43:JA45 IU48:JA67">
    <cfRule type="cellIs" dxfId="9" priority="5" operator="lessThan">
      <formula>#REF!</formula>
    </cfRule>
  </conditionalFormatting>
  <conditionalFormatting sqref="AA39:AC39">
    <cfRule type="cellIs" dxfId="8" priority="6" operator="greaterThan">
      <formula>$AA$40</formula>
    </cfRule>
    <cfRule type="cellIs" dxfId="7" priority="7" operator="lessThan">
      <formula>AA$40</formula>
    </cfRule>
  </conditionalFormatting>
  <dataValidations count="3">
    <dataValidation type="list" allowBlank="1" showInputMessage="1" showErrorMessage="1" sqref="AA11:AC11 V12:V38" xr:uid="{00000000-0002-0000-0000-000000000000}">
      <formula1>$E$119:$U$119</formula1>
    </dataValidation>
    <dataValidation type="list" allowBlank="1" showInputMessage="1" showErrorMessage="1" sqref="I46:I47 I68" xr:uid="{00000000-0002-0000-0000-000001000000}">
      <formula1>$E$104:$T$104</formula1>
    </dataValidation>
    <dataValidation type="list" allowBlank="1" showInputMessage="1" showErrorMessage="1" sqref="W12:W38 J46:J47 J68" xr:uid="{00000000-0002-0000-0000-000002000000}">
      <formula1>$D$105:$D$117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E423-528B-448B-BD92-0C9437AC345E}">
  <dimension ref="A3:P49"/>
  <sheetViews>
    <sheetView showGridLines="0" zoomScale="70" zoomScaleNormal="70" workbookViewId="0">
      <selection activeCell="L5" sqref="L5:S8"/>
    </sheetView>
  </sheetViews>
  <sheetFormatPr baseColWidth="10" defaultColWidth="11.42578125" defaultRowHeight="15" x14ac:dyDescent="0.25"/>
  <cols>
    <col min="1" max="2" width="11.42578125" style="125"/>
    <col min="3" max="3" width="10.85546875" style="125" customWidth="1"/>
    <col min="4" max="5" width="11.42578125" style="125"/>
    <col min="6" max="6" width="13.85546875" style="125" customWidth="1"/>
    <col min="7" max="8" width="11.42578125" style="125"/>
    <col min="9" max="9" width="13.5703125" style="125" customWidth="1"/>
    <col min="10" max="16384" width="11.42578125" style="125"/>
  </cols>
  <sheetData>
    <row r="3" spans="1:16" x14ac:dyDescent="0.25">
      <c r="B3" s="126" t="s">
        <v>65</v>
      </c>
      <c r="C3" s="127"/>
      <c r="D3" s="128">
        <v>2.5000000000000001E-2</v>
      </c>
    </row>
    <row r="4" spans="1:16" ht="67.5" customHeight="1" x14ac:dyDescent="0.25">
      <c r="A4" s="129"/>
      <c r="B4" s="130" t="s">
        <v>66</v>
      </c>
      <c r="C4" s="130" t="s">
        <v>67</v>
      </c>
      <c r="D4" s="130" t="s">
        <v>68</v>
      </c>
      <c r="E4" s="130" t="s">
        <v>69</v>
      </c>
      <c r="F4" s="130" t="s">
        <v>70</v>
      </c>
      <c r="G4" s="130" t="s">
        <v>71</v>
      </c>
      <c r="H4" s="130" t="s">
        <v>72</v>
      </c>
      <c r="I4" s="130" t="s">
        <v>73</v>
      </c>
      <c r="J4" s="130" t="s">
        <v>74</v>
      </c>
      <c r="K4" s="131"/>
      <c r="L4" s="129"/>
    </row>
    <row r="5" spans="1:16" x14ac:dyDescent="0.25">
      <c r="B5" s="132">
        <v>1</v>
      </c>
      <c r="C5" s="133" t="s">
        <v>75</v>
      </c>
      <c r="D5" s="134">
        <v>180</v>
      </c>
      <c r="E5" s="134" t="s">
        <v>62</v>
      </c>
      <c r="F5" s="134">
        <v>32</v>
      </c>
      <c r="G5" s="134">
        <v>0</v>
      </c>
      <c r="H5" s="134">
        <v>0</v>
      </c>
      <c r="I5" s="132" t="str">
        <f>IF(ISNUMBER(H5),IF(H5&lt;=G5,"ok","nc"),"")</f>
        <v>ok</v>
      </c>
      <c r="J5" s="132">
        <f>IF(I5="ok",IF(G5&gt;1,3,2),0)</f>
        <v>2</v>
      </c>
      <c r="K5" s="135">
        <f>IF(ISNUMBER(H5),IF(I5="ok",0,1),"")</f>
        <v>0</v>
      </c>
      <c r="L5" t="s">
        <v>77</v>
      </c>
      <c r="M5"/>
      <c r="N5"/>
      <c r="O5" t="s">
        <v>78</v>
      </c>
      <c r="P5"/>
    </row>
    <row r="6" spans="1:16" x14ac:dyDescent="0.25">
      <c r="B6" s="132">
        <v>2</v>
      </c>
      <c r="C6" s="132" t="str">
        <f>IF(ISNUMBER(H5),IF(J5&gt;29,"réduit",IF(SUM(K5:K6)&gt;1,"renforcé","normal")),"")</f>
        <v>normal</v>
      </c>
      <c r="D6" s="134">
        <v>200</v>
      </c>
      <c r="E6" s="134" t="s">
        <v>62</v>
      </c>
      <c r="F6" s="134">
        <v>32</v>
      </c>
      <c r="G6" s="134">
        <v>1</v>
      </c>
      <c r="H6" s="134">
        <v>1</v>
      </c>
      <c r="I6" s="132" t="str">
        <f>IF(ISNUMBER(H6),IF(H6&lt;=G6,"ok","nc"),"")</f>
        <v>ok</v>
      </c>
      <c r="J6" s="132">
        <f>IF(C5="normal",IF((J5+IF(I6="ok",IF(G6&gt;1,3,2),0))=J5,0,J5+IF(I6="ok",IF(G6&gt;1,3,2),0)),0)</f>
        <v>4</v>
      </c>
      <c r="K6" s="135">
        <f t="shared" ref="K6:K29" si="0">IF(ISNUMBER(H6),IF(I6="ok",0,1),"")</f>
        <v>0</v>
      </c>
      <c r="L6" t="s">
        <v>79</v>
      </c>
      <c r="M6"/>
      <c r="N6"/>
      <c r="O6" t="s">
        <v>80</v>
      </c>
      <c r="P6"/>
    </row>
    <row r="7" spans="1:16" x14ac:dyDescent="0.25">
      <c r="B7" s="132">
        <v>3</v>
      </c>
      <c r="C7" s="132" t="str">
        <f>IF(ISNUMBER(H6),IF(J6&gt;29,"réduit",IF(SUM(K5:K7)&gt;1,"renforcé","normal")),"")</f>
        <v>normal</v>
      </c>
      <c r="D7" s="134">
        <v>250</v>
      </c>
      <c r="E7" s="134" t="s">
        <v>62</v>
      </c>
      <c r="F7" s="134">
        <v>32</v>
      </c>
      <c r="G7" s="134">
        <v>0</v>
      </c>
      <c r="H7" s="134">
        <v>1</v>
      </c>
      <c r="I7" s="132" t="str">
        <f t="shared" ref="I7:I29" si="1">IF(ISNUMBER(H7),IF(H7&lt;=G7,"ok","nc"),"")</f>
        <v>nc</v>
      </c>
      <c r="J7" s="132">
        <f t="shared" ref="J7:J29" si="2">IF(C6="renforcé",0,IF((J6+IF(I7="ok",IF(G7&gt;1,3,2),0))=J6,0,J6+IF(I7="ok",IF(G7&gt;1,3,2),0)))</f>
        <v>0</v>
      </c>
      <c r="K7" s="135">
        <f t="shared" si="0"/>
        <v>1</v>
      </c>
      <c r="L7" t="s">
        <v>81</v>
      </c>
      <c r="M7"/>
      <c r="N7"/>
      <c r="O7" t="s">
        <v>82</v>
      </c>
      <c r="P7"/>
    </row>
    <row r="8" spans="1:16" x14ac:dyDescent="0.25">
      <c r="B8" s="132">
        <v>4</v>
      </c>
      <c r="C8" s="132" t="str">
        <f>IF(ISNUMBER(H7),IF(J7&gt;29,"réduit",IF(SUM(K5:K8)&gt;1,"renforcé","normal")),"")</f>
        <v>normal</v>
      </c>
      <c r="D8" s="134">
        <v>450</v>
      </c>
      <c r="E8" s="134" t="s">
        <v>63</v>
      </c>
      <c r="F8" s="134">
        <v>50</v>
      </c>
      <c r="G8" s="134">
        <v>1</v>
      </c>
      <c r="H8" s="134">
        <v>1</v>
      </c>
      <c r="I8" s="132" t="str">
        <f t="shared" si="1"/>
        <v>ok</v>
      </c>
      <c r="J8" s="132">
        <f t="shared" si="2"/>
        <v>2</v>
      </c>
      <c r="K8" s="135">
        <f t="shared" si="0"/>
        <v>0</v>
      </c>
      <c r="L8"/>
      <c r="M8"/>
      <c r="N8"/>
      <c r="O8" t="s">
        <v>83</v>
      </c>
      <c r="P8"/>
    </row>
    <row r="9" spans="1:16" x14ac:dyDescent="0.25">
      <c r="B9" s="132">
        <v>5</v>
      </c>
      <c r="C9" s="132" t="str">
        <f>IF(ISNUMBER(H8),IF(J8&gt;29,"réduit",IF(SUM(K5:K9)&gt;1,"renforcé","normal")),"")</f>
        <v>normal</v>
      </c>
      <c r="D9" s="134">
        <v>300</v>
      </c>
      <c r="E9" s="134" t="s">
        <v>63</v>
      </c>
      <c r="F9" s="134">
        <v>50</v>
      </c>
      <c r="G9" s="134">
        <v>1</v>
      </c>
      <c r="H9" s="134">
        <v>1</v>
      </c>
      <c r="I9" s="132" t="str">
        <f t="shared" si="1"/>
        <v>ok</v>
      </c>
      <c r="J9" s="132">
        <f t="shared" si="2"/>
        <v>4</v>
      </c>
      <c r="K9" s="135">
        <f t="shared" si="0"/>
        <v>0</v>
      </c>
      <c r="L9" s="136"/>
    </row>
    <row r="10" spans="1:16" x14ac:dyDescent="0.25">
      <c r="B10" s="132">
        <v>6</v>
      </c>
      <c r="C10" s="132" t="str">
        <f>IF(ISNUMBER(H9),IF(J9&gt;29,"réduit",IF(SUM(K5:K9)&gt;1,"renforcé","normal")),"")</f>
        <v>normal</v>
      </c>
      <c r="D10" s="134">
        <v>80</v>
      </c>
      <c r="E10" s="134" t="s">
        <v>30</v>
      </c>
      <c r="F10" s="134">
        <v>13</v>
      </c>
      <c r="G10" s="134">
        <v>0</v>
      </c>
      <c r="H10" s="134">
        <v>1</v>
      </c>
      <c r="I10" s="132" t="str">
        <f t="shared" si="1"/>
        <v>nc</v>
      </c>
      <c r="J10" s="132">
        <f t="shared" si="2"/>
        <v>0</v>
      </c>
      <c r="K10" s="135">
        <f t="shared" si="0"/>
        <v>1</v>
      </c>
      <c r="L10" s="136"/>
    </row>
    <row r="11" spans="1:16" x14ac:dyDescent="0.25">
      <c r="B11" s="132">
        <v>7</v>
      </c>
      <c r="C11" s="132" t="str">
        <f t="shared" ref="C11:C12" si="3">IF(ISNUMBER(H10),IF(J10&gt;29,"réduit",IF(SUM(K3:K10)&gt;1,"renforcé","normal")),"")</f>
        <v>renforcé</v>
      </c>
      <c r="D11" s="134">
        <v>800</v>
      </c>
      <c r="E11" s="134" t="s">
        <v>76</v>
      </c>
      <c r="F11" s="134">
        <v>80</v>
      </c>
      <c r="G11" s="134">
        <v>1</v>
      </c>
      <c r="H11" s="134">
        <v>1</v>
      </c>
      <c r="I11" s="132" t="str">
        <f t="shared" si="1"/>
        <v>ok</v>
      </c>
      <c r="J11" s="132">
        <f t="shared" si="2"/>
        <v>2</v>
      </c>
      <c r="K11" s="135">
        <f t="shared" si="0"/>
        <v>0</v>
      </c>
      <c r="L11" s="136"/>
    </row>
    <row r="12" spans="1:16" x14ac:dyDescent="0.25">
      <c r="B12" s="132">
        <v>8</v>
      </c>
      <c r="C12" s="132" t="str">
        <f t="shared" si="3"/>
        <v>renforcé</v>
      </c>
      <c r="D12" s="134">
        <v>300</v>
      </c>
      <c r="E12" s="134" t="s">
        <v>63</v>
      </c>
      <c r="F12" s="134">
        <v>50</v>
      </c>
      <c r="G12" s="134">
        <v>0</v>
      </c>
      <c r="H12" s="134">
        <v>0</v>
      </c>
      <c r="I12" s="132" t="str">
        <f t="shared" si="1"/>
        <v>ok</v>
      </c>
      <c r="J12" s="132">
        <f t="shared" si="2"/>
        <v>0</v>
      </c>
      <c r="K12" s="135">
        <f t="shared" si="0"/>
        <v>0</v>
      </c>
      <c r="L12" s="136"/>
    </row>
    <row r="13" spans="1:16" x14ac:dyDescent="0.25">
      <c r="B13" s="132">
        <v>9</v>
      </c>
      <c r="C13" s="132" t="str">
        <f>IF(ISNUMBER(H12),IF(J12&gt;29,"réduit",IF(SUM(K5:K12)&gt;1,"renforcé","normal")),"")</f>
        <v>renforcé</v>
      </c>
      <c r="D13" s="134">
        <v>100</v>
      </c>
      <c r="E13" s="134" t="s">
        <v>32</v>
      </c>
      <c r="F13" s="134">
        <v>20</v>
      </c>
      <c r="G13" s="134">
        <v>0</v>
      </c>
      <c r="H13" s="134">
        <v>0</v>
      </c>
      <c r="I13" s="132" t="str">
        <f t="shared" si="1"/>
        <v>ok</v>
      </c>
      <c r="J13" s="132">
        <f t="shared" si="2"/>
        <v>0</v>
      </c>
      <c r="K13" s="135">
        <f t="shared" si="0"/>
        <v>0</v>
      </c>
      <c r="L13" s="136"/>
    </row>
    <row r="14" spans="1:16" x14ac:dyDescent="0.25">
      <c r="B14" s="132">
        <v>10</v>
      </c>
      <c r="C14" s="132" t="str">
        <f>IF(ISNUMBER(H13),IF(J13&gt;29,"réduit",IF(SUM(K6:K13)&gt;1,"renforcé","normal")),"")</f>
        <v>renforcé</v>
      </c>
      <c r="D14" s="134">
        <v>600</v>
      </c>
      <c r="E14" s="134" t="s">
        <v>76</v>
      </c>
      <c r="F14" s="134">
        <v>80</v>
      </c>
      <c r="G14" s="134">
        <v>1</v>
      </c>
      <c r="H14" s="134">
        <v>0</v>
      </c>
      <c r="I14" s="132" t="str">
        <f t="shared" si="1"/>
        <v>ok</v>
      </c>
      <c r="J14" s="132">
        <f t="shared" si="2"/>
        <v>0</v>
      </c>
      <c r="K14" s="135">
        <f t="shared" si="0"/>
        <v>0</v>
      </c>
      <c r="L14" s="136"/>
    </row>
    <row r="15" spans="1:16" x14ac:dyDescent="0.25">
      <c r="B15" s="132">
        <v>11</v>
      </c>
      <c r="C15" s="132" t="str">
        <f>IF(ISNUMBER(H14),IF(J14&gt;29,"réduit",IF(SUM(K7:K14)&gt;1,"renforcé","normal")),"")</f>
        <v>renforcé</v>
      </c>
      <c r="D15" s="134">
        <v>200</v>
      </c>
      <c r="E15" s="134" t="s">
        <v>62</v>
      </c>
      <c r="F15" s="134">
        <v>32</v>
      </c>
      <c r="G15" s="134">
        <v>1</v>
      </c>
      <c r="H15" s="134">
        <v>1</v>
      </c>
      <c r="I15" s="132" t="str">
        <f t="shared" si="1"/>
        <v>ok</v>
      </c>
      <c r="J15" s="132">
        <f t="shared" si="2"/>
        <v>0</v>
      </c>
      <c r="K15" s="135">
        <f t="shared" si="0"/>
        <v>0</v>
      </c>
      <c r="L15" s="136"/>
    </row>
    <row r="16" spans="1:16" x14ac:dyDescent="0.25">
      <c r="B16" s="132">
        <v>12</v>
      </c>
      <c r="C16" s="132" t="str">
        <f>IF(ISNUMBER(H15),IF(J15&gt;29,"réduit",IF(SUM(K8:K15)&gt;1,"renforcé","normal")),"")</f>
        <v>normal</v>
      </c>
      <c r="D16" s="134">
        <v>250</v>
      </c>
      <c r="E16" s="134" t="s">
        <v>62</v>
      </c>
      <c r="F16" s="134">
        <v>32</v>
      </c>
      <c r="G16" s="134">
        <v>0</v>
      </c>
      <c r="H16" s="134">
        <v>0</v>
      </c>
      <c r="I16" s="132" t="str">
        <f t="shared" si="1"/>
        <v>ok</v>
      </c>
      <c r="J16" s="132">
        <f t="shared" si="2"/>
        <v>0</v>
      </c>
      <c r="K16" s="135">
        <f t="shared" si="0"/>
        <v>0</v>
      </c>
      <c r="L16" s="136"/>
    </row>
    <row r="17" spans="2:12" x14ac:dyDescent="0.25">
      <c r="B17" s="132">
        <v>13</v>
      </c>
      <c r="C17" s="132" t="str">
        <f t="shared" ref="C17:C27" si="4">IF(ISNUMBER(H16),IF(J16&gt;29,"réduit",IF(SUM(K9:K16)&gt;1,"renforcé","normal")),"")</f>
        <v>normal</v>
      </c>
      <c r="D17" s="134">
        <v>600</v>
      </c>
      <c r="E17" s="134" t="s">
        <v>76</v>
      </c>
      <c r="F17" s="134">
        <v>80</v>
      </c>
      <c r="G17" s="134">
        <v>2</v>
      </c>
      <c r="H17" s="134">
        <v>1</v>
      </c>
      <c r="I17" s="132" t="str">
        <f t="shared" si="1"/>
        <v>ok</v>
      </c>
      <c r="J17" s="132">
        <f t="shared" si="2"/>
        <v>3</v>
      </c>
      <c r="K17" s="135">
        <f t="shared" si="0"/>
        <v>0</v>
      </c>
      <c r="L17" s="136"/>
    </row>
    <row r="18" spans="2:12" x14ac:dyDescent="0.25">
      <c r="B18" s="132">
        <v>14</v>
      </c>
      <c r="C18" s="132" t="str">
        <f t="shared" si="4"/>
        <v>normal</v>
      </c>
      <c r="D18" s="134">
        <v>600</v>
      </c>
      <c r="E18" s="134" t="s">
        <v>76</v>
      </c>
      <c r="F18" s="134">
        <v>80</v>
      </c>
      <c r="G18" s="134">
        <v>2</v>
      </c>
      <c r="H18" s="134">
        <v>1</v>
      </c>
      <c r="I18" s="132" t="str">
        <f t="shared" si="1"/>
        <v>ok</v>
      </c>
      <c r="J18" s="132">
        <f t="shared" si="2"/>
        <v>6</v>
      </c>
      <c r="K18" s="135">
        <f t="shared" si="0"/>
        <v>0</v>
      </c>
      <c r="L18" s="136"/>
    </row>
    <row r="19" spans="2:12" x14ac:dyDescent="0.25">
      <c r="B19" s="132">
        <v>15</v>
      </c>
      <c r="C19" s="132" t="str">
        <f t="shared" si="4"/>
        <v>normal</v>
      </c>
      <c r="D19" s="134">
        <v>600</v>
      </c>
      <c r="E19" s="134" t="s">
        <v>76</v>
      </c>
      <c r="F19" s="134">
        <v>80</v>
      </c>
      <c r="G19" s="134">
        <v>2</v>
      </c>
      <c r="H19" s="134">
        <v>1</v>
      </c>
      <c r="I19" s="132" t="str">
        <f t="shared" si="1"/>
        <v>ok</v>
      </c>
      <c r="J19" s="132">
        <f>IF(C18="renforcé",0,IF((J18+IF(I19="ok",IF(G19&gt;1,3,2),0))=J18,0,J18+IF(I19="ok",IF(G19&gt;1,3,2),0)))</f>
        <v>9</v>
      </c>
      <c r="K19" s="135">
        <f t="shared" si="0"/>
        <v>0</v>
      </c>
      <c r="L19" s="136"/>
    </row>
    <row r="20" spans="2:12" x14ac:dyDescent="0.25">
      <c r="B20" s="132">
        <v>16</v>
      </c>
      <c r="C20" s="132" t="str">
        <f t="shared" si="4"/>
        <v>normal</v>
      </c>
      <c r="D20" s="134">
        <v>600</v>
      </c>
      <c r="E20" s="134" t="s">
        <v>76</v>
      </c>
      <c r="F20" s="134">
        <v>80</v>
      </c>
      <c r="G20" s="134">
        <v>2</v>
      </c>
      <c r="H20" s="134">
        <v>1</v>
      </c>
      <c r="I20" s="132" t="str">
        <f t="shared" si="1"/>
        <v>ok</v>
      </c>
      <c r="J20" s="132">
        <f t="shared" si="2"/>
        <v>12</v>
      </c>
      <c r="K20" s="135">
        <f t="shared" si="0"/>
        <v>0</v>
      </c>
      <c r="L20" s="136"/>
    </row>
    <row r="21" spans="2:12" x14ac:dyDescent="0.25">
      <c r="B21" s="132">
        <v>17</v>
      </c>
      <c r="C21" s="132" t="str">
        <f t="shared" si="4"/>
        <v>normal</v>
      </c>
      <c r="D21" s="134">
        <v>600</v>
      </c>
      <c r="E21" s="134" t="s">
        <v>76</v>
      </c>
      <c r="F21" s="134">
        <v>80</v>
      </c>
      <c r="G21" s="134">
        <v>2</v>
      </c>
      <c r="H21" s="134">
        <v>1</v>
      </c>
      <c r="I21" s="132" t="str">
        <f t="shared" si="1"/>
        <v>ok</v>
      </c>
      <c r="J21" s="132">
        <f t="shared" si="2"/>
        <v>15</v>
      </c>
      <c r="K21" s="135">
        <f t="shared" si="0"/>
        <v>0</v>
      </c>
      <c r="L21" s="136"/>
    </row>
    <row r="22" spans="2:12" x14ac:dyDescent="0.25">
      <c r="B22" s="132">
        <v>18</v>
      </c>
      <c r="C22" s="132" t="str">
        <f t="shared" si="4"/>
        <v>normal</v>
      </c>
      <c r="D22" s="134">
        <v>600</v>
      </c>
      <c r="E22" s="134" t="s">
        <v>76</v>
      </c>
      <c r="F22" s="134">
        <v>80</v>
      </c>
      <c r="G22" s="134">
        <v>2</v>
      </c>
      <c r="H22" s="134">
        <v>1</v>
      </c>
      <c r="I22" s="132" t="str">
        <f t="shared" si="1"/>
        <v>ok</v>
      </c>
      <c r="J22" s="132">
        <f t="shared" si="2"/>
        <v>18</v>
      </c>
      <c r="K22" s="135">
        <f t="shared" si="0"/>
        <v>0</v>
      </c>
      <c r="L22" s="136"/>
    </row>
    <row r="23" spans="2:12" x14ac:dyDescent="0.25">
      <c r="B23" s="132">
        <v>19</v>
      </c>
      <c r="C23" s="132" t="str">
        <f t="shared" si="4"/>
        <v>normal</v>
      </c>
      <c r="D23" s="134">
        <v>600</v>
      </c>
      <c r="E23" s="134" t="s">
        <v>76</v>
      </c>
      <c r="F23" s="134">
        <v>80</v>
      </c>
      <c r="G23" s="134">
        <v>2</v>
      </c>
      <c r="H23" s="134">
        <v>1</v>
      </c>
      <c r="I23" s="132" t="str">
        <f t="shared" si="1"/>
        <v>ok</v>
      </c>
      <c r="J23" s="132">
        <f t="shared" si="2"/>
        <v>21</v>
      </c>
      <c r="K23" s="135">
        <f t="shared" si="0"/>
        <v>0</v>
      </c>
      <c r="L23" s="136"/>
    </row>
    <row r="24" spans="2:12" x14ac:dyDescent="0.25">
      <c r="B24" s="132">
        <v>20</v>
      </c>
      <c r="C24" s="132" t="str">
        <f t="shared" si="4"/>
        <v>normal</v>
      </c>
      <c r="D24" s="134">
        <v>600</v>
      </c>
      <c r="E24" s="134" t="s">
        <v>76</v>
      </c>
      <c r="F24" s="134">
        <v>80</v>
      </c>
      <c r="G24" s="134">
        <v>1</v>
      </c>
      <c r="H24" s="134">
        <v>0</v>
      </c>
      <c r="I24" s="132" t="str">
        <f t="shared" si="1"/>
        <v>ok</v>
      </c>
      <c r="J24" s="132">
        <f t="shared" si="2"/>
        <v>23</v>
      </c>
      <c r="K24" s="135">
        <f t="shared" si="0"/>
        <v>0</v>
      </c>
      <c r="L24" s="136"/>
    </row>
    <row r="25" spans="2:12" x14ac:dyDescent="0.25">
      <c r="B25" s="132">
        <v>21</v>
      </c>
      <c r="C25" s="132" t="str">
        <f t="shared" si="4"/>
        <v>normal</v>
      </c>
      <c r="D25" s="134">
        <v>600</v>
      </c>
      <c r="E25" s="134" t="s">
        <v>76</v>
      </c>
      <c r="F25" s="134">
        <v>80</v>
      </c>
      <c r="G25" s="134">
        <v>2</v>
      </c>
      <c r="H25" s="134">
        <v>1</v>
      </c>
      <c r="I25" s="132" t="str">
        <f t="shared" si="1"/>
        <v>ok</v>
      </c>
      <c r="J25" s="132">
        <f t="shared" si="2"/>
        <v>26</v>
      </c>
      <c r="K25" s="135">
        <f t="shared" si="0"/>
        <v>0</v>
      </c>
      <c r="L25" s="136"/>
    </row>
    <row r="26" spans="2:12" x14ac:dyDescent="0.25">
      <c r="B26" s="132">
        <v>22</v>
      </c>
      <c r="C26" s="132" t="str">
        <f t="shared" si="4"/>
        <v>normal</v>
      </c>
      <c r="D26" s="134">
        <v>600</v>
      </c>
      <c r="E26" s="134" t="s">
        <v>76</v>
      </c>
      <c r="F26" s="134">
        <v>80</v>
      </c>
      <c r="G26" s="134">
        <v>2</v>
      </c>
      <c r="H26" s="134">
        <v>1</v>
      </c>
      <c r="I26" s="132" t="str">
        <f t="shared" si="1"/>
        <v>ok</v>
      </c>
      <c r="J26" s="132">
        <f t="shared" si="2"/>
        <v>29</v>
      </c>
      <c r="K26" s="135">
        <f t="shared" si="0"/>
        <v>0</v>
      </c>
      <c r="L26" s="136"/>
    </row>
    <row r="27" spans="2:12" x14ac:dyDescent="0.25">
      <c r="B27" s="132">
        <v>23</v>
      </c>
      <c r="C27" s="132" t="str">
        <f t="shared" si="4"/>
        <v>normal</v>
      </c>
      <c r="D27" s="134">
        <v>600</v>
      </c>
      <c r="E27" s="134" t="s">
        <v>76</v>
      </c>
      <c r="F27" s="134">
        <v>80</v>
      </c>
      <c r="G27" s="134">
        <v>2</v>
      </c>
      <c r="H27" s="134">
        <v>1</v>
      </c>
      <c r="I27" s="132" t="str">
        <f t="shared" si="1"/>
        <v>ok</v>
      </c>
      <c r="J27" s="132">
        <f t="shared" si="2"/>
        <v>32</v>
      </c>
      <c r="K27" s="135">
        <f t="shared" si="0"/>
        <v>0</v>
      </c>
      <c r="L27" s="136"/>
    </row>
    <row r="28" spans="2:12" x14ac:dyDescent="0.25">
      <c r="B28" s="132">
        <v>24</v>
      </c>
      <c r="C28" s="132" t="str">
        <f>IF(ISNUMBER(H27),IF(J27&gt;29,"réduit",IF(SUM(K20:K27)&gt;1,"renforcé","normal")),"")</f>
        <v>réduit</v>
      </c>
      <c r="D28" s="134"/>
      <c r="E28" s="134"/>
      <c r="F28" s="134"/>
      <c r="G28" s="134"/>
      <c r="H28" s="134"/>
      <c r="I28" s="132" t="str">
        <f t="shared" si="1"/>
        <v/>
      </c>
      <c r="J28" s="132">
        <f t="shared" si="2"/>
        <v>0</v>
      </c>
      <c r="K28" s="135" t="str">
        <f t="shared" si="0"/>
        <v/>
      </c>
      <c r="L28" s="136"/>
    </row>
    <row r="29" spans="2:12" x14ac:dyDescent="0.25">
      <c r="B29" s="132">
        <v>25</v>
      </c>
      <c r="C29" s="132"/>
      <c r="D29" s="134"/>
      <c r="E29" s="134"/>
      <c r="F29" s="134"/>
      <c r="G29" s="134"/>
      <c r="H29" s="134"/>
      <c r="I29" s="132" t="str">
        <f t="shared" si="1"/>
        <v/>
      </c>
      <c r="J29" s="132">
        <f t="shared" si="2"/>
        <v>0</v>
      </c>
      <c r="K29" s="135" t="str">
        <f t="shared" si="0"/>
        <v/>
      </c>
      <c r="L29" s="136"/>
    </row>
    <row r="30" spans="2:12" x14ac:dyDescent="0.25">
      <c r="B30" s="132">
        <v>26</v>
      </c>
      <c r="C30" s="132"/>
      <c r="D30" s="134"/>
      <c r="E30" s="134"/>
      <c r="F30" s="134"/>
      <c r="G30" s="134"/>
      <c r="H30" s="134"/>
      <c r="I30" s="132" t="str">
        <f t="shared" ref="I30:I49" si="5">IF(ISNUMBER(H30),IF(H30&lt;=G30,"ok","nc"),"")</f>
        <v/>
      </c>
      <c r="J30" s="132">
        <f t="shared" ref="J30:J49" si="6">IF(C29="renforcé",0,IF((J29+IF(I30="ok",IF(G30&gt;1,3,2),0))=J29,0,J29+IF(I30="ok",IF(G30&gt;1,3,2),0)))</f>
        <v>0</v>
      </c>
      <c r="K30" s="135" t="str">
        <f t="shared" ref="K30:K49" si="7">IF(ISNUMBER(H30),IF(I30="ok",0,1),"")</f>
        <v/>
      </c>
    </row>
    <row r="31" spans="2:12" x14ac:dyDescent="0.25">
      <c r="B31" s="132">
        <v>27</v>
      </c>
      <c r="C31" s="132"/>
      <c r="D31" s="134"/>
      <c r="E31" s="134"/>
      <c r="F31" s="134"/>
      <c r="G31" s="134"/>
      <c r="H31" s="134"/>
      <c r="I31" s="132" t="str">
        <f t="shared" si="5"/>
        <v/>
      </c>
      <c r="J31" s="132">
        <f t="shared" si="6"/>
        <v>0</v>
      </c>
      <c r="K31" s="135" t="str">
        <f t="shared" si="7"/>
        <v/>
      </c>
    </row>
    <row r="32" spans="2:12" x14ac:dyDescent="0.25">
      <c r="B32" s="132">
        <v>28</v>
      </c>
      <c r="C32" s="132"/>
      <c r="D32" s="134"/>
      <c r="E32" s="134"/>
      <c r="F32" s="134"/>
      <c r="G32" s="134"/>
      <c r="H32" s="134"/>
      <c r="I32" s="132" t="str">
        <f t="shared" si="5"/>
        <v/>
      </c>
      <c r="J32" s="132">
        <f t="shared" si="6"/>
        <v>0</v>
      </c>
      <c r="K32" s="135" t="str">
        <f t="shared" si="7"/>
        <v/>
      </c>
    </row>
    <row r="33" spans="2:11" x14ac:dyDescent="0.25">
      <c r="B33" s="132">
        <v>29</v>
      </c>
      <c r="C33" s="132"/>
      <c r="D33" s="134"/>
      <c r="E33" s="134"/>
      <c r="F33" s="134"/>
      <c r="G33" s="134"/>
      <c r="H33" s="134"/>
      <c r="I33" s="132" t="str">
        <f t="shared" si="5"/>
        <v/>
      </c>
      <c r="J33" s="132">
        <f t="shared" si="6"/>
        <v>0</v>
      </c>
      <c r="K33" s="135" t="str">
        <f t="shared" si="7"/>
        <v/>
      </c>
    </row>
    <row r="34" spans="2:11" customFormat="1" x14ac:dyDescent="0.25">
      <c r="B34" s="132">
        <v>30</v>
      </c>
      <c r="C34" s="132"/>
      <c r="D34" s="134"/>
      <c r="E34" s="134"/>
      <c r="F34" s="134"/>
      <c r="G34" s="134"/>
      <c r="H34" s="134"/>
      <c r="I34" s="132" t="str">
        <f t="shared" si="5"/>
        <v/>
      </c>
      <c r="J34" s="132">
        <f t="shared" si="6"/>
        <v>0</v>
      </c>
      <c r="K34" s="135" t="str">
        <f t="shared" si="7"/>
        <v/>
      </c>
    </row>
    <row r="35" spans="2:11" customFormat="1" x14ac:dyDescent="0.25">
      <c r="B35" s="132">
        <v>31</v>
      </c>
      <c r="C35" s="132"/>
      <c r="D35" s="134"/>
      <c r="E35" s="134"/>
      <c r="F35" s="134"/>
      <c r="G35" s="134"/>
      <c r="H35" s="134"/>
      <c r="I35" s="132" t="str">
        <f t="shared" si="5"/>
        <v/>
      </c>
      <c r="J35" s="132">
        <f t="shared" si="6"/>
        <v>0</v>
      </c>
      <c r="K35" s="135" t="str">
        <f t="shared" si="7"/>
        <v/>
      </c>
    </row>
    <row r="36" spans="2:11" customFormat="1" x14ac:dyDescent="0.25">
      <c r="B36" s="132">
        <v>32</v>
      </c>
      <c r="C36" s="132"/>
      <c r="D36" s="134"/>
      <c r="E36" s="134"/>
      <c r="F36" s="134"/>
      <c r="G36" s="134"/>
      <c r="H36" s="134"/>
      <c r="I36" s="132" t="str">
        <f t="shared" si="5"/>
        <v/>
      </c>
      <c r="J36" s="132">
        <f t="shared" si="6"/>
        <v>0</v>
      </c>
      <c r="K36" s="135" t="str">
        <f t="shared" si="7"/>
        <v/>
      </c>
    </row>
    <row r="37" spans="2:11" customFormat="1" x14ac:dyDescent="0.25">
      <c r="B37" s="132">
        <v>33</v>
      </c>
      <c r="C37" s="132"/>
      <c r="D37" s="134"/>
      <c r="E37" s="134"/>
      <c r="F37" s="134"/>
      <c r="G37" s="134"/>
      <c r="H37" s="134"/>
      <c r="I37" s="132" t="str">
        <f t="shared" si="5"/>
        <v/>
      </c>
      <c r="J37" s="132">
        <f t="shared" si="6"/>
        <v>0</v>
      </c>
      <c r="K37" s="135" t="str">
        <f t="shared" si="7"/>
        <v/>
      </c>
    </row>
    <row r="38" spans="2:11" customFormat="1" x14ac:dyDescent="0.25">
      <c r="B38" s="132">
        <v>34</v>
      </c>
      <c r="C38" s="132"/>
      <c r="D38" s="134"/>
      <c r="E38" s="134"/>
      <c r="F38" s="134"/>
      <c r="G38" s="134"/>
      <c r="H38" s="134"/>
      <c r="I38" s="132" t="str">
        <f t="shared" si="5"/>
        <v/>
      </c>
      <c r="J38" s="132">
        <f t="shared" si="6"/>
        <v>0</v>
      </c>
      <c r="K38" s="135" t="str">
        <f t="shared" si="7"/>
        <v/>
      </c>
    </row>
    <row r="39" spans="2:11" customFormat="1" x14ac:dyDescent="0.25">
      <c r="B39" s="132">
        <v>35</v>
      </c>
      <c r="C39" s="132"/>
      <c r="D39" s="134"/>
      <c r="E39" s="134"/>
      <c r="F39" s="134"/>
      <c r="G39" s="134"/>
      <c r="H39" s="134"/>
      <c r="I39" s="132" t="str">
        <f t="shared" si="5"/>
        <v/>
      </c>
      <c r="J39" s="132">
        <f t="shared" si="6"/>
        <v>0</v>
      </c>
      <c r="K39" s="135" t="str">
        <f t="shared" si="7"/>
        <v/>
      </c>
    </row>
    <row r="40" spans="2:11" customFormat="1" x14ac:dyDescent="0.25">
      <c r="B40" s="132">
        <v>36</v>
      </c>
      <c r="C40" s="132"/>
      <c r="D40" s="134"/>
      <c r="E40" s="134"/>
      <c r="F40" s="134"/>
      <c r="G40" s="134"/>
      <c r="H40" s="134"/>
      <c r="I40" s="132" t="str">
        <f t="shared" si="5"/>
        <v/>
      </c>
      <c r="J40" s="132">
        <f t="shared" si="6"/>
        <v>0</v>
      </c>
      <c r="K40" s="135" t="str">
        <f t="shared" si="7"/>
        <v/>
      </c>
    </row>
    <row r="41" spans="2:11" customFormat="1" x14ac:dyDescent="0.25">
      <c r="B41" s="132">
        <v>37</v>
      </c>
      <c r="C41" s="132"/>
      <c r="D41" s="134"/>
      <c r="E41" s="134"/>
      <c r="F41" s="134"/>
      <c r="G41" s="134"/>
      <c r="H41" s="134"/>
      <c r="I41" s="132" t="str">
        <f t="shared" si="5"/>
        <v/>
      </c>
      <c r="J41" s="132">
        <f t="shared" si="6"/>
        <v>0</v>
      </c>
      <c r="K41" s="135" t="str">
        <f t="shared" si="7"/>
        <v/>
      </c>
    </row>
    <row r="42" spans="2:11" x14ac:dyDescent="0.25">
      <c r="B42" s="132">
        <v>38</v>
      </c>
      <c r="C42" s="132"/>
      <c r="D42" s="134"/>
      <c r="E42" s="134"/>
      <c r="F42" s="134"/>
      <c r="G42" s="134"/>
      <c r="H42" s="134"/>
      <c r="I42" s="132" t="str">
        <f t="shared" si="5"/>
        <v/>
      </c>
      <c r="J42" s="132">
        <f t="shared" si="6"/>
        <v>0</v>
      </c>
      <c r="K42" s="135" t="str">
        <f t="shared" si="7"/>
        <v/>
      </c>
    </row>
    <row r="43" spans="2:11" x14ac:dyDescent="0.25">
      <c r="B43" s="132">
        <v>39</v>
      </c>
      <c r="C43" s="132"/>
      <c r="D43" s="134"/>
      <c r="E43" s="134"/>
      <c r="F43" s="134"/>
      <c r="G43" s="134"/>
      <c r="H43" s="134"/>
      <c r="I43" s="132" t="str">
        <f t="shared" si="5"/>
        <v/>
      </c>
      <c r="J43" s="132">
        <f t="shared" si="6"/>
        <v>0</v>
      </c>
      <c r="K43" s="135" t="str">
        <f t="shared" si="7"/>
        <v/>
      </c>
    </row>
    <row r="44" spans="2:11" x14ac:dyDescent="0.25">
      <c r="B44" s="132">
        <v>40</v>
      </c>
      <c r="C44" s="132"/>
      <c r="D44" s="134"/>
      <c r="E44" s="134"/>
      <c r="F44" s="134"/>
      <c r="G44" s="134"/>
      <c r="H44" s="134"/>
      <c r="I44" s="132" t="str">
        <f t="shared" si="5"/>
        <v/>
      </c>
      <c r="J44" s="132">
        <f t="shared" si="6"/>
        <v>0</v>
      </c>
      <c r="K44" s="135" t="str">
        <f t="shared" si="7"/>
        <v/>
      </c>
    </row>
    <row r="45" spans="2:11" x14ac:dyDescent="0.25">
      <c r="B45" s="132">
        <v>41</v>
      </c>
      <c r="C45" s="132"/>
      <c r="D45" s="134"/>
      <c r="E45" s="134"/>
      <c r="F45" s="134"/>
      <c r="G45" s="134"/>
      <c r="H45" s="134"/>
      <c r="I45" s="132" t="str">
        <f t="shared" si="5"/>
        <v/>
      </c>
      <c r="J45" s="132">
        <f t="shared" si="6"/>
        <v>0</v>
      </c>
      <c r="K45" s="135" t="str">
        <f t="shared" si="7"/>
        <v/>
      </c>
    </row>
    <row r="46" spans="2:11" x14ac:dyDescent="0.25">
      <c r="B46" s="132">
        <v>42</v>
      </c>
      <c r="C46" s="132"/>
      <c r="D46" s="134"/>
      <c r="E46" s="134"/>
      <c r="F46" s="134"/>
      <c r="G46" s="134"/>
      <c r="H46" s="134"/>
      <c r="I46" s="132" t="str">
        <f t="shared" si="5"/>
        <v/>
      </c>
      <c r="J46" s="132">
        <f t="shared" si="6"/>
        <v>0</v>
      </c>
      <c r="K46" s="135" t="str">
        <f t="shared" si="7"/>
        <v/>
      </c>
    </row>
    <row r="47" spans="2:11" x14ac:dyDescent="0.25">
      <c r="B47" s="132">
        <v>43</v>
      </c>
      <c r="C47" s="132"/>
      <c r="D47" s="134"/>
      <c r="E47" s="134"/>
      <c r="F47" s="134"/>
      <c r="G47" s="134"/>
      <c r="H47" s="134"/>
      <c r="I47" s="132" t="str">
        <f t="shared" si="5"/>
        <v/>
      </c>
      <c r="J47" s="132">
        <f t="shared" si="6"/>
        <v>0</v>
      </c>
      <c r="K47" s="135" t="str">
        <f t="shared" si="7"/>
        <v/>
      </c>
    </row>
    <row r="48" spans="2:11" x14ac:dyDescent="0.25">
      <c r="B48" s="132">
        <v>44</v>
      </c>
      <c r="C48" s="132"/>
      <c r="D48" s="134"/>
      <c r="E48" s="134"/>
      <c r="F48" s="134"/>
      <c r="G48" s="134"/>
      <c r="H48" s="134"/>
      <c r="I48" s="132" t="str">
        <f t="shared" si="5"/>
        <v/>
      </c>
      <c r="J48" s="132">
        <f t="shared" si="6"/>
        <v>0</v>
      </c>
      <c r="K48" s="135" t="str">
        <f t="shared" si="7"/>
        <v/>
      </c>
    </row>
    <row r="49" spans="2:11" x14ac:dyDescent="0.25">
      <c r="B49" s="132">
        <v>45</v>
      </c>
      <c r="C49" s="132"/>
      <c r="D49" s="134"/>
      <c r="E49" s="134"/>
      <c r="F49" s="134"/>
      <c r="G49" s="134"/>
      <c r="H49" s="134"/>
      <c r="I49" s="132" t="str">
        <f t="shared" si="5"/>
        <v/>
      </c>
      <c r="J49" s="132">
        <f t="shared" si="6"/>
        <v>0</v>
      </c>
      <c r="K49" s="135" t="str">
        <f t="shared" si="7"/>
        <v/>
      </c>
    </row>
  </sheetData>
  <mergeCells count="1">
    <mergeCell ref="B3:C3"/>
  </mergeCells>
  <conditionalFormatting sqref="C6:C49">
    <cfRule type="cellIs" dxfId="6" priority="3" operator="equal">
      <formula>"réduit"</formula>
    </cfRule>
    <cfRule type="cellIs" dxfId="5" priority="4" operator="equal">
      <formula>"renforcé"</formula>
    </cfRule>
    <cfRule type="cellIs" dxfId="4" priority="5" operator="equal">
      <formula>"normal"</formula>
    </cfRule>
  </conditionalFormatting>
  <conditionalFormatting sqref="I5:I49">
    <cfRule type="cellIs" dxfId="3" priority="1" operator="equal">
      <formula>"nc"</formula>
    </cfRule>
    <cfRule type="cellIs" dxfId="2" priority="2" operator="equal">
      <formula>"ok"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7DB4-6ECC-460B-803B-9CFAE846610B}">
  <dimension ref="C2:N21"/>
  <sheetViews>
    <sheetView showGridLines="0" workbookViewId="0">
      <selection activeCell="L21" sqref="L21"/>
    </sheetView>
  </sheetViews>
  <sheetFormatPr baseColWidth="10" defaultRowHeight="15" x14ac:dyDescent="0.25"/>
  <cols>
    <col min="3" max="3" width="20.140625" customWidth="1"/>
  </cols>
  <sheetData>
    <row r="2" spans="3:14" x14ac:dyDescent="0.25">
      <c r="C2" s="184" t="s">
        <v>116</v>
      </c>
      <c r="D2" s="184"/>
      <c r="E2" s="184"/>
      <c r="F2" s="184"/>
      <c r="G2" s="184"/>
      <c r="H2" s="184"/>
      <c r="I2" s="185" t="s">
        <v>117</v>
      </c>
      <c r="J2" s="186"/>
      <c r="K2" s="186"/>
      <c r="L2" s="186"/>
      <c r="M2" s="186"/>
      <c r="N2" s="186"/>
    </row>
    <row r="3" spans="3:14" x14ac:dyDescent="0.25">
      <c r="C3" s="187" t="s">
        <v>118</v>
      </c>
    </row>
    <row r="4" spans="3:14" x14ac:dyDescent="0.25">
      <c r="C4" s="188" t="s">
        <v>65</v>
      </c>
      <c r="D4" s="189">
        <v>0.01</v>
      </c>
      <c r="I4" s="190" t="s">
        <v>119</v>
      </c>
      <c r="J4" s="191">
        <v>0.95</v>
      </c>
      <c r="K4" t="s">
        <v>120</v>
      </c>
    </row>
    <row r="5" spans="3:14" x14ac:dyDescent="0.25">
      <c r="C5" s="188" t="s">
        <v>121</v>
      </c>
      <c r="D5" s="189">
        <v>0.05</v>
      </c>
      <c r="I5" s="190" t="s">
        <v>122</v>
      </c>
      <c r="J5" s="191">
        <v>0.95</v>
      </c>
      <c r="K5" t="s">
        <v>123</v>
      </c>
    </row>
    <row r="6" spans="3:14" x14ac:dyDescent="0.25">
      <c r="C6" s="192" t="s">
        <v>124</v>
      </c>
      <c r="D6" s="193">
        <v>5000</v>
      </c>
      <c r="I6" s="194" t="s">
        <v>125</v>
      </c>
      <c r="J6" s="195">
        <f>LN(1-J4)/(LN(J5))+1</f>
        <v>59.403974814319703</v>
      </c>
      <c r="K6" t="s">
        <v>126</v>
      </c>
    </row>
    <row r="7" spans="3:14" x14ac:dyDescent="0.25">
      <c r="C7" s="188" t="s">
        <v>127</v>
      </c>
      <c r="D7" s="189">
        <v>0.05</v>
      </c>
      <c r="I7" s="194" t="s">
        <v>128</v>
      </c>
      <c r="J7" s="196">
        <v>0</v>
      </c>
    </row>
    <row r="8" spans="3:14" x14ac:dyDescent="0.25">
      <c r="C8" s="196" t="s">
        <v>129</v>
      </c>
      <c r="D8" s="189">
        <v>0.1</v>
      </c>
    </row>
    <row r="9" spans="3:14" x14ac:dyDescent="0.25">
      <c r="C9" s="196" t="s">
        <v>130</v>
      </c>
      <c r="D9" s="197">
        <f>-NORMSINV(D7)</f>
        <v>1.6448536269514726</v>
      </c>
    </row>
    <row r="10" spans="3:14" x14ac:dyDescent="0.25">
      <c r="C10" s="196" t="s">
        <v>131</v>
      </c>
      <c r="D10" s="197">
        <f>-NORMSINV(D8)</f>
        <v>1.2815515655446006</v>
      </c>
    </row>
    <row r="11" spans="3:14" x14ac:dyDescent="0.25">
      <c r="C11" s="196" t="s">
        <v>132</v>
      </c>
      <c r="D11" s="198">
        <f>(D9*(D4*(1-D4))^0.5+D10*(D5*(1-D5))^0.5)/(D5-D4)^2</f>
        <v>276.85534857928758</v>
      </c>
    </row>
    <row r="12" spans="3:14" x14ac:dyDescent="0.25">
      <c r="C12" s="199" t="s">
        <v>133</v>
      </c>
      <c r="D12" s="200">
        <f>D11/(1+D11/D6)</f>
        <v>262.32986342313382</v>
      </c>
    </row>
    <row r="13" spans="3:14" x14ac:dyDescent="0.25">
      <c r="C13" s="199" t="s">
        <v>134</v>
      </c>
      <c r="D13" s="200">
        <f>D12*D4-0.5+D9*(D12*D4*(1-D4)*(1-D12/D6))^0.5</f>
        <v>4.7035744281076184</v>
      </c>
    </row>
    <row r="21" spans="3:3" x14ac:dyDescent="0.25">
      <c r="C21" s="1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EC83-B6C6-4925-AB55-FFA4567B8CFA}">
  <dimension ref="A1:Z77"/>
  <sheetViews>
    <sheetView showGridLines="0" tabSelected="1" zoomScale="70" zoomScaleNormal="70" workbookViewId="0">
      <selection activeCell="M16" sqref="M16"/>
    </sheetView>
  </sheetViews>
  <sheetFormatPr baseColWidth="10" defaultRowHeight="15" x14ac:dyDescent="0.25"/>
  <cols>
    <col min="2" max="2" width="18.140625" customWidth="1"/>
    <col min="3" max="3" width="21.5703125" customWidth="1"/>
    <col min="4" max="4" width="19.5703125" customWidth="1"/>
    <col min="5" max="5" width="18.85546875" customWidth="1"/>
    <col min="6" max="6" width="17.85546875" customWidth="1"/>
    <col min="7" max="7" width="18.28515625" customWidth="1"/>
    <col min="11" max="11" width="17.140625" customWidth="1"/>
    <col min="13" max="13" width="14.42578125" bestFit="1" customWidth="1"/>
    <col min="14" max="14" width="27.85546875" bestFit="1" customWidth="1"/>
    <col min="15" max="15" width="18.85546875" bestFit="1" customWidth="1"/>
    <col min="16" max="16" width="18.28515625" bestFit="1" customWidth="1"/>
    <col min="18" max="18" width="21.42578125" bestFit="1" customWidth="1"/>
    <col min="19" max="19" width="6.28515625" customWidth="1"/>
    <col min="20" max="20" width="7.42578125" customWidth="1"/>
    <col min="21" max="21" width="6.28515625" customWidth="1"/>
    <col min="22" max="22" width="7.42578125" customWidth="1"/>
    <col min="26" max="26" width="12" bestFit="1" customWidth="1"/>
  </cols>
  <sheetData>
    <row r="1" spans="1:26" ht="15.75" thickBot="1" x14ac:dyDescent="0.3"/>
    <row r="2" spans="1:26" x14ac:dyDescent="0.25">
      <c r="B2" s="137" t="s">
        <v>84</v>
      </c>
      <c r="C2" s="138">
        <v>1000</v>
      </c>
      <c r="M2" s="139" t="s">
        <v>85</v>
      </c>
      <c r="N2" s="139" t="s">
        <v>86</v>
      </c>
      <c r="O2" s="139" t="s">
        <v>87</v>
      </c>
      <c r="P2" s="139" t="s">
        <v>88</v>
      </c>
      <c r="Q2" s="140"/>
      <c r="R2" s="140" t="s">
        <v>89</v>
      </c>
      <c r="S2" s="140"/>
      <c r="T2" s="140"/>
      <c r="U2" s="140"/>
      <c r="V2" s="140"/>
      <c r="W2" s="140"/>
      <c r="X2" s="141"/>
      <c r="Y2" s="140"/>
      <c r="Z2" s="142"/>
    </row>
    <row r="3" spans="1:26" x14ac:dyDescent="0.25">
      <c r="B3" s="143" t="s">
        <v>90</v>
      </c>
      <c r="C3" s="144">
        <v>80</v>
      </c>
      <c r="D3" s="145" t="s">
        <v>91</v>
      </c>
      <c r="M3" s="139" t="s">
        <v>92</v>
      </c>
      <c r="N3" s="139" t="s">
        <v>93</v>
      </c>
      <c r="O3" s="139" t="s">
        <v>93</v>
      </c>
      <c r="P3" s="139" t="s">
        <v>93</v>
      </c>
      <c r="Q3" s="140"/>
      <c r="R3" s="146" t="s">
        <v>94</v>
      </c>
      <c r="S3" s="147">
        <v>0</v>
      </c>
      <c r="T3" s="147">
        <f>BINOMDIST(C6,C3,C4,1)</f>
        <v>0.95344681426406852</v>
      </c>
      <c r="U3" s="147">
        <f>C4</f>
        <v>0.01</v>
      </c>
      <c r="V3" s="147">
        <v>0</v>
      </c>
      <c r="W3" s="140"/>
      <c r="X3" s="141"/>
      <c r="Y3" s="140"/>
      <c r="Z3" s="142"/>
    </row>
    <row r="4" spans="1:26" x14ac:dyDescent="0.25">
      <c r="A4" s="148" t="s">
        <v>95</v>
      </c>
      <c r="B4" s="143" t="s">
        <v>96</v>
      </c>
      <c r="C4" s="149">
        <v>0.01</v>
      </c>
      <c r="D4" t="s">
        <v>97</v>
      </c>
      <c r="M4" s="147">
        <v>0</v>
      </c>
      <c r="N4" s="150">
        <f>_xlfn.BINOM.DIST($C$6,$C$3,M4,1)</f>
        <v>1</v>
      </c>
      <c r="O4" s="150">
        <f>_xlfn.HYPGEOM.DIST($C$6,$C$3,M4*$C$2,$C$2,1)</f>
        <v>1</v>
      </c>
      <c r="P4" s="150">
        <f>IF($C$8="Binomiale",N4,O4)</f>
        <v>1</v>
      </c>
      <c r="Q4" s="140"/>
      <c r="R4" s="146"/>
      <c r="S4" s="147">
        <f>C4</f>
        <v>0.01</v>
      </c>
      <c r="T4" s="147">
        <f>T3</f>
        <v>0.95344681426406852</v>
      </c>
      <c r="U4" s="151">
        <f>C4</f>
        <v>0.01</v>
      </c>
      <c r="V4" s="147">
        <f>T4</f>
        <v>0.95344681426406852</v>
      </c>
      <c r="W4" s="140"/>
      <c r="X4" s="141"/>
      <c r="Y4" s="140"/>
      <c r="Z4" s="142"/>
    </row>
    <row r="5" spans="1:26" x14ac:dyDescent="0.25">
      <c r="A5" s="148" t="s">
        <v>98</v>
      </c>
      <c r="B5" s="143" t="s">
        <v>99</v>
      </c>
      <c r="C5" s="149">
        <v>0.1</v>
      </c>
      <c r="D5" s="152"/>
      <c r="M5" s="147">
        <v>0.01</v>
      </c>
      <c r="N5" s="150">
        <f t="shared" ref="N5:N24" si="0">_xlfn.BINOM.DIST($C$6,$C$3,M5,1)</f>
        <v>0.95344681426406852</v>
      </c>
      <c r="O5" s="150">
        <f t="shared" ref="O5:O24" si="1">_xlfn.HYPGEOM.DIST($C$6,$C$3,M5*$C$2,$C$2,1)</f>
        <v>0.96075168155238577</v>
      </c>
      <c r="P5" s="150">
        <f t="shared" ref="P5:P24" si="2">IF($C$8="Binomiale",N5,O5)</f>
        <v>0.95344681426406852</v>
      </c>
      <c r="Q5" s="140"/>
      <c r="R5" s="146" t="s">
        <v>100</v>
      </c>
      <c r="S5" s="147">
        <v>0</v>
      </c>
      <c r="T5" s="147">
        <f>BINOMDIST(C6,C3,C5,1)</f>
        <v>1.0683672797443955E-2</v>
      </c>
      <c r="U5" s="151">
        <f>C5</f>
        <v>0.1</v>
      </c>
      <c r="V5" s="147">
        <v>0</v>
      </c>
      <c r="W5" s="140"/>
      <c r="X5" s="141"/>
      <c r="Y5" s="140"/>
      <c r="Z5" s="142"/>
    </row>
    <row r="6" spans="1:26" x14ac:dyDescent="0.25">
      <c r="B6" s="143" t="s">
        <v>101</v>
      </c>
      <c r="C6" s="144">
        <v>2</v>
      </c>
      <c r="D6" s="153" t="s">
        <v>102</v>
      </c>
      <c r="M6" s="147">
        <v>0.02</v>
      </c>
      <c r="N6" s="150">
        <f>_xlfn.BINOM.DIST($C$6,$C$3,M6,1)</f>
        <v>0.78441888697535622</v>
      </c>
      <c r="O6" s="150">
        <f t="shared" si="1"/>
        <v>0.78924713628909693</v>
      </c>
      <c r="P6" s="150">
        <f t="shared" si="2"/>
        <v>0.78441888697535622</v>
      </c>
      <c r="Q6" s="140"/>
      <c r="R6" s="146"/>
      <c r="S6" s="147">
        <f>C5</f>
        <v>0.1</v>
      </c>
      <c r="T6" s="147">
        <f>T5</f>
        <v>1.0683672797443955E-2</v>
      </c>
      <c r="U6" s="151">
        <f>D17</f>
        <v>1.0683672797443955E-2</v>
      </c>
      <c r="V6" s="147">
        <f>T6</f>
        <v>1.0683672797443955E-2</v>
      </c>
      <c r="W6" s="140"/>
      <c r="X6" s="141"/>
      <c r="Y6" s="140"/>
      <c r="Z6" s="142"/>
    </row>
    <row r="7" spans="1:26" x14ac:dyDescent="0.25">
      <c r="B7" s="143" t="s">
        <v>103</v>
      </c>
      <c r="C7" s="154">
        <f>C3/C2</f>
        <v>0.08</v>
      </c>
      <c r="D7" t="s">
        <v>104</v>
      </c>
      <c r="M7" s="147">
        <v>0.03</v>
      </c>
      <c r="N7" s="150">
        <f t="shared" si="0"/>
        <v>0.5681232516410879</v>
      </c>
      <c r="O7" s="150">
        <f t="shared" si="1"/>
        <v>0.56406940669506167</v>
      </c>
      <c r="P7" s="150">
        <f t="shared" si="2"/>
        <v>0.5681232516410879</v>
      </c>
      <c r="Q7" s="140"/>
      <c r="R7" s="140"/>
      <c r="S7" s="140"/>
      <c r="T7" s="140"/>
      <c r="U7" s="155"/>
      <c r="V7" s="140"/>
      <c r="W7" s="140"/>
      <c r="X7" s="141"/>
      <c r="Y7" s="140"/>
      <c r="Z7" s="142"/>
    </row>
    <row r="8" spans="1:26" ht="15.75" thickBot="1" x14ac:dyDescent="0.3">
      <c r="B8" s="156" t="s">
        <v>105</v>
      </c>
      <c r="C8" s="157" t="str">
        <f>IF(C7&lt;0.1,"Binomiale","Hypergéométrique")</f>
        <v>Binomiale</v>
      </c>
      <c r="D8" s="158"/>
      <c r="M8" s="147">
        <v>0.04</v>
      </c>
      <c r="N8" s="150">
        <f t="shared" si="0"/>
        <v>0.37478789935680812</v>
      </c>
      <c r="O8" s="150">
        <f t="shared" si="1"/>
        <v>0.36448281553141654</v>
      </c>
      <c r="P8" s="150">
        <f t="shared" si="2"/>
        <v>0.37478789935680812</v>
      </c>
      <c r="Q8" s="140"/>
      <c r="R8" s="140" t="s">
        <v>106</v>
      </c>
      <c r="S8" s="140"/>
      <c r="T8" s="140"/>
      <c r="U8" s="155"/>
      <c r="V8" s="140"/>
      <c r="W8" s="140"/>
      <c r="X8" s="141"/>
      <c r="Y8" s="140"/>
      <c r="Z8" s="142"/>
    </row>
    <row r="9" spans="1:26" ht="15.75" thickBot="1" x14ac:dyDescent="0.3">
      <c r="B9" s="159"/>
      <c r="D9" s="152"/>
      <c r="M9" s="147">
        <v>0.05</v>
      </c>
      <c r="N9" s="150">
        <f t="shared" si="0"/>
        <v>0.23062050491649233</v>
      </c>
      <c r="O9" s="150">
        <f t="shared" si="1"/>
        <v>0.21864472540416946</v>
      </c>
      <c r="P9" s="150">
        <f t="shared" si="2"/>
        <v>0.23062050491649233</v>
      </c>
      <c r="Q9" s="140"/>
      <c r="R9" s="146" t="s">
        <v>94</v>
      </c>
      <c r="S9" s="147">
        <f>S3</f>
        <v>0</v>
      </c>
      <c r="T9" s="147">
        <f>_xlfn.HYPGEOM.DIST(C6,C3,C4*C2,C2,1)</f>
        <v>0.96075168155238577</v>
      </c>
      <c r="U9" s="151">
        <f>C4</f>
        <v>0.01</v>
      </c>
      <c r="V9" s="147">
        <v>0</v>
      </c>
      <c r="W9" s="140"/>
      <c r="X9" s="141"/>
      <c r="Y9" s="140"/>
      <c r="Z9" s="142"/>
    </row>
    <row r="10" spans="1:26" x14ac:dyDescent="0.25">
      <c r="B10" s="160" t="s">
        <v>89</v>
      </c>
      <c r="C10" s="161"/>
      <c r="D10" s="162"/>
      <c r="M10" s="147">
        <v>0.06</v>
      </c>
      <c r="N10" s="150">
        <f t="shared" si="0"/>
        <v>0.13444574956595723</v>
      </c>
      <c r="O10" s="150">
        <f t="shared" si="1"/>
        <v>0.1238585289593571</v>
      </c>
      <c r="P10" s="150">
        <f t="shared" si="2"/>
        <v>0.13444574956595723</v>
      </c>
      <c r="Q10" s="140"/>
      <c r="R10" s="146"/>
      <c r="S10" s="147">
        <f>S4</f>
        <v>0.01</v>
      </c>
      <c r="T10" s="147">
        <f>T9</f>
        <v>0.96075168155238577</v>
      </c>
      <c r="U10" s="151">
        <f>C4</f>
        <v>0.01</v>
      </c>
      <c r="V10" s="147">
        <f>T10</f>
        <v>0.96075168155238577</v>
      </c>
      <c r="W10" s="140"/>
      <c r="X10" s="141"/>
      <c r="Y10" s="140"/>
      <c r="Z10" s="142"/>
    </row>
    <row r="11" spans="1:26" x14ac:dyDescent="0.25">
      <c r="B11" s="163" t="s">
        <v>107</v>
      </c>
      <c r="D11" s="164"/>
      <c r="M11" s="147">
        <v>7.0000000000000007E-2</v>
      </c>
      <c r="N11" s="150">
        <f t="shared" si="0"/>
        <v>7.5033688207063229E-2</v>
      </c>
      <c r="O11" s="150">
        <f t="shared" si="1"/>
        <v>6.7007008178622152E-2</v>
      </c>
      <c r="P11" s="150">
        <f t="shared" si="2"/>
        <v>7.5033688207063229E-2</v>
      </c>
      <c r="Q11" s="140"/>
      <c r="R11" s="146" t="s">
        <v>100</v>
      </c>
      <c r="S11" s="147">
        <f>S5</f>
        <v>0</v>
      </c>
      <c r="T11" s="147">
        <f>_xlfn.HYPGEOM.DIST(C6,C3,C5*C2,C2,1)</f>
        <v>8.5989811739408915E-3</v>
      </c>
      <c r="U11" s="151">
        <f>D24</f>
        <v>0.1</v>
      </c>
      <c r="V11" s="147">
        <v>0</v>
      </c>
      <c r="W11" s="140"/>
      <c r="X11" s="140"/>
      <c r="Y11" s="140"/>
    </row>
    <row r="12" spans="1:26" x14ac:dyDescent="0.25">
      <c r="B12" s="163" t="s">
        <v>108</v>
      </c>
      <c r="C12" s="165"/>
      <c r="D12" s="166">
        <f>C4</f>
        <v>0.01</v>
      </c>
      <c r="M12" s="147">
        <v>0.08</v>
      </c>
      <c r="N12" s="150">
        <f t="shared" si="0"/>
        <v>4.0377985328660632E-2</v>
      </c>
      <c r="O12" s="150">
        <f t="shared" si="1"/>
        <v>3.4886007214169977E-2</v>
      </c>
      <c r="P12" s="150">
        <f t="shared" si="2"/>
        <v>4.0377985328660632E-2</v>
      </c>
      <c r="Q12" s="140"/>
      <c r="R12" s="146"/>
      <c r="S12" s="147">
        <f>D24</f>
        <v>0.1</v>
      </c>
      <c r="T12" s="147">
        <f>T11</f>
        <v>8.5989811739408915E-3</v>
      </c>
      <c r="U12" s="151">
        <f>D25</f>
        <v>1.0683672797443955E-2</v>
      </c>
      <c r="V12" s="147">
        <f>T11</f>
        <v>8.5989811739408915E-3</v>
      </c>
      <c r="W12" s="140"/>
      <c r="X12" s="140"/>
      <c r="Y12" s="140"/>
    </row>
    <row r="13" spans="1:26" x14ac:dyDescent="0.25">
      <c r="B13" s="163" t="s">
        <v>109</v>
      </c>
      <c r="C13" s="165"/>
      <c r="D13" s="166">
        <f>1-BINOMDIST(C6,C3,C4,1)</f>
        <v>4.6553185735931479E-2</v>
      </c>
      <c r="M13" s="147">
        <v>0.09</v>
      </c>
      <c r="N13" s="150">
        <f t="shared" si="0"/>
        <v>2.1058522275257827E-2</v>
      </c>
      <c r="O13" s="150">
        <f t="shared" si="1"/>
        <v>1.7573663752980345E-2</v>
      </c>
      <c r="P13" s="150">
        <f t="shared" si="2"/>
        <v>2.1058522275257827E-2</v>
      </c>
      <c r="Q13" s="140"/>
      <c r="R13" s="140"/>
      <c r="S13" s="140"/>
      <c r="T13" s="140"/>
      <c r="U13" s="155"/>
      <c r="V13" s="140"/>
      <c r="W13" s="140"/>
      <c r="X13" s="140"/>
      <c r="Y13" s="140"/>
    </row>
    <row r="14" spans="1:26" x14ac:dyDescent="0.25">
      <c r="B14" s="163" t="s">
        <v>110</v>
      </c>
      <c r="C14" s="165"/>
      <c r="D14" s="167">
        <f>1-D13</f>
        <v>0.95344681426406852</v>
      </c>
      <c r="M14" s="147">
        <v>0.1</v>
      </c>
      <c r="N14" s="150">
        <f>_xlfn.BINOM.DIST($C$6,$C$3,M14,1)</f>
        <v>1.0683672797443955E-2</v>
      </c>
      <c r="O14" s="150">
        <f>_xlfn.HYPGEOM.DIST($C$6,$C$3,M14*$C$2,$C$2,1)</f>
        <v>8.5989811739408915E-3</v>
      </c>
      <c r="P14" s="150">
        <f t="shared" si="2"/>
        <v>1.0683672797443955E-2</v>
      </c>
      <c r="Q14" s="140"/>
      <c r="R14" s="140" t="s">
        <v>111</v>
      </c>
      <c r="S14" s="140"/>
      <c r="T14" s="140"/>
      <c r="U14" s="155"/>
      <c r="V14" s="140"/>
      <c r="W14" s="140"/>
      <c r="X14" s="140"/>
      <c r="Y14" s="140"/>
    </row>
    <row r="15" spans="1:26" x14ac:dyDescent="0.25">
      <c r="B15" s="168" t="s">
        <v>112</v>
      </c>
      <c r="D15" s="164"/>
      <c r="M15" s="147">
        <v>0.11</v>
      </c>
      <c r="N15" s="150">
        <f t="shared" si="0"/>
        <v>5.2871755358512322E-3</v>
      </c>
      <c r="O15" s="150">
        <f t="shared" si="1"/>
        <v>4.0987899226971117E-3</v>
      </c>
      <c r="P15" s="150">
        <f t="shared" si="2"/>
        <v>5.2871755358512322E-3</v>
      </c>
      <c r="Q15" s="140"/>
      <c r="R15" s="146" t="s">
        <v>94</v>
      </c>
      <c r="S15" s="150">
        <v>0</v>
      </c>
      <c r="T15" s="150">
        <f>IF(C8="Binomiale",T3,T9)</f>
        <v>0.95344681426406852</v>
      </c>
      <c r="U15" s="169">
        <f>C4</f>
        <v>0.01</v>
      </c>
      <c r="V15" s="150">
        <v>0</v>
      </c>
      <c r="W15" s="140"/>
      <c r="X15" s="140"/>
      <c r="Y15" s="140"/>
    </row>
    <row r="16" spans="1:26" x14ac:dyDescent="0.25">
      <c r="B16" s="168" t="s">
        <v>113</v>
      </c>
      <c r="C16" s="170"/>
      <c r="D16" s="171">
        <f>C5</f>
        <v>0.1</v>
      </c>
      <c r="M16" s="147">
        <v>0.12</v>
      </c>
      <c r="N16" s="150">
        <f>_xlfn.BINOM.DIST($C$6,$C$3,M16,1)</f>
        <v>2.5576747034386804E-3</v>
      </c>
      <c r="O16" s="150">
        <f t="shared" si="1"/>
        <v>1.907332558067821E-3</v>
      </c>
      <c r="P16" s="150">
        <f t="shared" si="2"/>
        <v>2.5576747034386804E-3</v>
      </c>
      <c r="Q16" s="140"/>
      <c r="R16" s="146"/>
      <c r="S16" s="150">
        <f>C4</f>
        <v>0.01</v>
      </c>
      <c r="T16" s="150">
        <f>IF($C$8="Binomiale",T4,T10)</f>
        <v>0.95344681426406852</v>
      </c>
      <c r="U16" s="150">
        <f>C4</f>
        <v>0.01</v>
      </c>
      <c r="V16" s="150">
        <f>IF($C$8="Binomiale",V4,V10)</f>
        <v>0.95344681426406852</v>
      </c>
      <c r="W16" s="140"/>
      <c r="X16" s="140"/>
      <c r="Y16" s="140"/>
    </row>
    <row r="17" spans="1:25" ht="15.75" thickBot="1" x14ac:dyDescent="0.3">
      <c r="B17" s="172" t="s">
        <v>114</v>
      </c>
      <c r="C17" s="170"/>
      <c r="D17" s="171">
        <f>T6</f>
        <v>1.0683672797443955E-2</v>
      </c>
      <c r="M17" s="147">
        <v>0.13</v>
      </c>
      <c r="N17" s="150">
        <f t="shared" si="0"/>
        <v>1.2113787103491698E-3</v>
      </c>
      <c r="O17" s="150">
        <f t="shared" si="1"/>
        <v>8.6790307419043911E-4</v>
      </c>
      <c r="P17" s="150">
        <f t="shared" si="2"/>
        <v>1.2113787103491698E-3</v>
      </c>
      <c r="Q17" s="140"/>
      <c r="R17" s="146" t="s">
        <v>100</v>
      </c>
      <c r="S17" s="150">
        <v>0</v>
      </c>
      <c r="T17" s="150">
        <f>IF($C$8="Binomiale",T5,T11)</f>
        <v>1.0683672797443955E-2</v>
      </c>
      <c r="U17" s="150">
        <f>IF($C$8="Binomiale",U5,U11)</f>
        <v>0.1</v>
      </c>
      <c r="V17" s="150">
        <v>0</v>
      </c>
      <c r="W17" s="140"/>
      <c r="X17" s="140"/>
      <c r="Y17" s="140"/>
    </row>
    <row r="18" spans="1:25" x14ac:dyDescent="0.25">
      <c r="B18" s="160" t="s">
        <v>106</v>
      </c>
      <c r="C18" s="161"/>
      <c r="D18" s="162"/>
      <c r="E18" s="173"/>
      <c r="M18" s="147">
        <v>0.14000000000000001</v>
      </c>
      <c r="N18" s="150">
        <f t="shared" si="0"/>
        <v>5.6242309226727525E-4</v>
      </c>
      <c r="O18" s="150">
        <f t="shared" si="1"/>
        <v>3.8666419985292891E-4</v>
      </c>
      <c r="P18" s="150">
        <f t="shared" si="2"/>
        <v>5.6242309226727525E-4</v>
      </c>
      <c r="Q18" s="140"/>
      <c r="R18" s="146"/>
      <c r="S18" s="150">
        <f>C5</f>
        <v>0.1</v>
      </c>
      <c r="T18" s="150">
        <f>IF($C$8="Binomiale",T6,T12)</f>
        <v>1.0683672797443955E-2</v>
      </c>
      <c r="U18" s="150">
        <f>U17</f>
        <v>0.1</v>
      </c>
      <c r="V18" s="150">
        <f>IF($C$8="Binomiale",V6,V12)</f>
        <v>1.0683672797443955E-2</v>
      </c>
      <c r="W18" s="140"/>
      <c r="X18" s="140"/>
      <c r="Y18" s="140"/>
    </row>
    <row r="19" spans="1:25" x14ac:dyDescent="0.25">
      <c r="B19" s="163" t="s">
        <v>107</v>
      </c>
      <c r="D19" s="164"/>
      <c r="M19" s="147">
        <v>0.15</v>
      </c>
      <c r="N19" s="150">
        <f t="shared" si="0"/>
        <v>2.5621774695972675E-4</v>
      </c>
      <c r="O19" s="150">
        <f t="shared" si="1"/>
        <v>1.6882267738196872E-4</v>
      </c>
      <c r="P19" s="150">
        <f t="shared" si="2"/>
        <v>2.5621774695972675E-4</v>
      </c>
      <c r="Q19" s="140"/>
      <c r="R19" s="140"/>
      <c r="S19" s="140"/>
      <c r="T19" s="140"/>
      <c r="U19" s="140"/>
      <c r="V19" s="140"/>
      <c r="W19" s="140"/>
      <c r="X19" s="140"/>
      <c r="Y19" s="140"/>
    </row>
    <row r="20" spans="1:25" x14ac:dyDescent="0.25">
      <c r="B20" s="163" t="s">
        <v>108</v>
      </c>
      <c r="C20" s="165"/>
      <c r="D20" s="166">
        <f>C4</f>
        <v>0.01</v>
      </c>
      <c r="M20" s="147">
        <v>0.16</v>
      </c>
      <c r="N20" s="150">
        <f t="shared" si="0"/>
        <v>1.1461412467971902E-4</v>
      </c>
      <c r="O20" s="150">
        <f t="shared" si="1"/>
        <v>7.2290076746560022E-5</v>
      </c>
      <c r="P20" s="150">
        <f t="shared" si="2"/>
        <v>1.1461412467971902E-4</v>
      </c>
      <c r="Q20" s="140"/>
      <c r="R20" s="141"/>
      <c r="S20" s="140"/>
      <c r="T20" s="140"/>
      <c r="U20" s="140"/>
      <c r="V20" s="140"/>
      <c r="W20" s="140"/>
      <c r="X20" s="140"/>
      <c r="Y20" s="140"/>
    </row>
    <row r="21" spans="1:25" x14ac:dyDescent="0.25">
      <c r="B21" s="163" t="s">
        <v>109</v>
      </c>
      <c r="C21" s="165"/>
      <c r="D21" s="166">
        <f>1-_xlfn.HYPGEOM.DIST(C6,C3,C4*C2,C2,1)</f>
        <v>3.9248318447614228E-2</v>
      </c>
      <c r="M21" s="147">
        <v>0.17</v>
      </c>
      <c r="N21" s="150">
        <f t="shared" si="0"/>
        <v>5.0372709366656024E-5</v>
      </c>
      <c r="O21" s="150">
        <f t="shared" si="1"/>
        <v>3.0374994334190805E-5</v>
      </c>
      <c r="P21" s="150">
        <f t="shared" si="2"/>
        <v>5.0372709366656024E-5</v>
      </c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5" x14ac:dyDescent="0.25">
      <c r="B22" s="163" t="s">
        <v>110</v>
      </c>
      <c r="C22" s="165"/>
      <c r="D22" s="166">
        <f>1-D21</f>
        <v>0.96075168155238577</v>
      </c>
      <c r="M22" s="147">
        <v>0.18</v>
      </c>
      <c r="N22" s="150">
        <f t="shared" si="0"/>
        <v>2.1760352900544018E-5</v>
      </c>
      <c r="O22" s="150">
        <f t="shared" si="1"/>
        <v>1.2529064266035435E-5</v>
      </c>
      <c r="P22" s="150">
        <f t="shared" si="2"/>
        <v>2.1760352900544018E-5</v>
      </c>
      <c r="Q22" s="140"/>
      <c r="R22" s="174"/>
      <c r="S22" s="140"/>
      <c r="T22" s="140"/>
      <c r="U22" s="140"/>
      <c r="V22" s="140"/>
      <c r="W22" s="140"/>
      <c r="X22" s="140"/>
      <c r="Y22" s="140"/>
    </row>
    <row r="23" spans="1:25" x14ac:dyDescent="0.25">
      <c r="B23" s="168" t="s">
        <v>112</v>
      </c>
      <c r="D23" s="164"/>
      <c r="M23" s="147">
        <v>0.19</v>
      </c>
      <c r="N23" s="150">
        <f t="shared" si="0"/>
        <v>9.2424258180751014E-6</v>
      </c>
      <c r="O23" s="150">
        <f t="shared" si="1"/>
        <v>5.0746886941768763E-6</v>
      </c>
      <c r="P23" s="150">
        <f t="shared" si="2"/>
        <v>9.2424258180751014E-6</v>
      </c>
      <c r="Q23" s="140"/>
      <c r="R23" s="140"/>
      <c r="S23" s="140"/>
      <c r="T23" s="140"/>
      <c r="U23" s="140"/>
      <c r="V23" s="140"/>
      <c r="W23" s="140"/>
      <c r="X23" s="140"/>
      <c r="Y23" s="140"/>
    </row>
    <row r="24" spans="1:25" x14ac:dyDescent="0.25">
      <c r="B24" s="168" t="s">
        <v>113</v>
      </c>
      <c r="C24" s="170"/>
      <c r="D24" s="171">
        <f>C5</f>
        <v>0.1</v>
      </c>
      <c r="M24" s="147">
        <v>0.2</v>
      </c>
      <c r="N24" s="150">
        <f t="shared" si="0"/>
        <v>3.8605608365407744E-6</v>
      </c>
      <c r="O24" s="150">
        <f t="shared" si="1"/>
        <v>2.0186855451652873E-6</v>
      </c>
      <c r="P24" s="150">
        <f t="shared" si="2"/>
        <v>3.8605608365407744E-6</v>
      </c>
      <c r="Q24" s="140"/>
      <c r="R24" s="140"/>
      <c r="S24" s="140"/>
      <c r="T24" s="140"/>
      <c r="U24" s="140"/>
      <c r="V24" s="140"/>
      <c r="W24" s="140"/>
      <c r="X24" s="140"/>
      <c r="Y24" s="140"/>
    </row>
    <row r="25" spans="1:25" ht="15.75" thickBot="1" x14ac:dyDescent="0.3">
      <c r="B25" s="172" t="s">
        <v>114</v>
      </c>
      <c r="C25" s="175"/>
      <c r="D25" s="176">
        <f>T18</f>
        <v>1.0683672797443955E-2</v>
      </c>
      <c r="M25" s="140"/>
      <c r="N25" s="15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</row>
    <row r="26" spans="1:25" x14ac:dyDescent="0.25">
      <c r="B26" t="s">
        <v>115</v>
      </c>
      <c r="G26" s="177"/>
      <c r="M26" s="139"/>
      <c r="N26" s="15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</row>
    <row r="27" spans="1:25" x14ac:dyDescent="0.25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</row>
    <row r="28" spans="1:25" x14ac:dyDescent="0.25">
      <c r="A28" s="173"/>
      <c r="F28" s="173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</row>
    <row r="29" spans="1:25" x14ac:dyDescent="0.25">
      <c r="A29" s="173"/>
      <c r="F29" s="173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</row>
    <row r="30" spans="1:25" x14ac:dyDescent="0.25">
      <c r="A30" s="173"/>
      <c r="F30" s="173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</row>
    <row r="31" spans="1:25" x14ac:dyDescent="0.25">
      <c r="A31" s="173"/>
      <c r="F31" s="173"/>
      <c r="L31" s="140"/>
      <c r="M31" s="173"/>
    </row>
    <row r="32" spans="1:25" x14ac:dyDescent="0.25">
      <c r="A32" s="173"/>
      <c r="F32" s="173"/>
      <c r="L32" s="140"/>
      <c r="M32" s="173"/>
    </row>
    <row r="33" spans="1:13" x14ac:dyDescent="0.25">
      <c r="A33" s="173"/>
      <c r="F33" s="173"/>
      <c r="L33" s="140"/>
      <c r="M33" s="173"/>
    </row>
    <row r="34" spans="1:13" x14ac:dyDescent="0.25">
      <c r="A34" s="173"/>
      <c r="F34" s="173"/>
      <c r="L34" s="140"/>
      <c r="M34" s="173"/>
    </row>
    <row r="35" spans="1:13" x14ac:dyDescent="0.25">
      <c r="A35" s="173"/>
      <c r="F35" s="173"/>
      <c r="L35" s="140"/>
      <c r="M35" s="173"/>
    </row>
    <row r="36" spans="1:13" x14ac:dyDescent="0.25">
      <c r="A36" s="173"/>
      <c r="F36" s="173"/>
      <c r="L36" s="140"/>
      <c r="M36" s="173"/>
    </row>
    <row r="37" spans="1:13" x14ac:dyDescent="0.25">
      <c r="A37" s="173"/>
      <c r="D37" s="178"/>
      <c r="F37" s="173"/>
      <c r="L37" s="140"/>
      <c r="M37" s="173"/>
    </row>
    <row r="38" spans="1:13" x14ac:dyDescent="0.25">
      <c r="A38" s="173"/>
      <c r="F38" s="173"/>
      <c r="L38" s="140"/>
      <c r="M38" s="173"/>
    </row>
    <row r="39" spans="1:13" x14ac:dyDescent="0.25">
      <c r="A39" s="173"/>
      <c r="F39" s="173"/>
      <c r="L39" s="140"/>
      <c r="M39" s="173"/>
    </row>
    <row r="40" spans="1:13" x14ac:dyDescent="0.25">
      <c r="A40" s="173"/>
      <c r="F40" s="173"/>
      <c r="L40" s="140"/>
      <c r="M40" s="173"/>
    </row>
    <row r="41" spans="1:13" x14ac:dyDescent="0.25">
      <c r="A41" s="173"/>
      <c r="F41" s="173"/>
      <c r="G41" s="179"/>
      <c r="H41" s="173"/>
      <c r="I41" s="173"/>
      <c r="J41" s="173"/>
      <c r="K41" s="173"/>
      <c r="L41" s="140"/>
      <c r="M41" s="173"/>
    </row>
    <row r="42" spans="1:13" x14ac:dyDescent="0.25">
      <c r="A42" s="173"/>
      <c r="F42" s="173"/>
      <c r="G42" s="179"/>
      <c r="H42" s="180"/>
      <c r="I42" s="173"/>
      <c r="J42" s="173"/>
      <c r="K42" s="173"/>
      <c r="L42" s="140"/>
      <c r="M42" s="173"/>
    </row>
    <row r="43" spans="1:13" x14ac:dyDescent="0.25">
      <c r="A43" s="173"/>
      <c r="F43" s="173"/>
      <c r="G43" s="173"/>
      <c r="H43" s="173"/>
      <c r="I43" s="173"/>
      <c r="J43" s="173"/>
      <c r="K43" s="173"/>
      <c r="L43" s="140"/>
      <c r="M43" s="173"/>
    </row>
    <row r="44" spans="1:13" x14ac:dyDescent="0.25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40"/>
      <c r="M44" s="173"/>
    </row>
    <row r="45" spans="1:13" x14ac:dyDescent="0.2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</row>
    <row r="46" spans="1:13" x14ac:dyDescent="0.25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</row>
    <row r="47" spans="1:13" x14ac:dyDescent="0.25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</row>
    <row r="48" spans="1:13" x14ac:dyDescent="0.25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</row>
    <row r="49" spans="1:14" x14ac:dyDescent="0.25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4" x14ac:dyDescent="0.25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</row>
    <row r="51" spans="1:14" x14ac:dyDescent="0.25">
      <c r="A51" s="181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</row>
    <row r="52" spans="1:14" x14ac:dyDescent="0.25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</row>
    <row r="53" spans="1:14" x14ac:dyDescent="0.25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</row>
    <row r="60" spans="1:14" x14ac:dyDescent="0.25">
      <c r="N60" s="178"/>
    </row>
    <row r="62" spans="1:14" x14ac:dyDescent="0.25">
      <c r="N62" s="177"/>
    </row>
    <row r="64" spans="1:14" x14ac:dyDescent="0.25">
      <c r="N64" s="182"/>
    </row>
    <row r="65" spans="2:14" x14ac:dyDescent="0.25">
      <c r="N65" s="177"/>
    </row>
    <row r="77" spans="2:14" x14ac:dyDescent="0.25">
      <c r="B77" s="183">
        <f>0.177*42</f>
        <v>7.4339999999999993</v>
      </c>
    </row>
  </sheetData>
  <conditionalFormatting sqref="D17">
    <cfRule type="cellIs" dxfId="1" priority="1" operator="greaterThan">
      <formula>$D$24</formula>
    </cfRule>
  </conditionalFormatting>
  <conditionalFormatting sqref="D25">
    <cfRule type="cellIs" dxfId="0" priority="2" operator="greaterThan">
      <formula>$D$24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ECHM</vt:lpstr>
      <vt:lpstr>suivi</vt:lpstr>
      <vt:lpstr>trouver n</vt:lpstr>
      <vt:lpstr>courbe d'efficacité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2017-03-22T15:25:13Z</dcterms:created>
  <dcterms:modified xsi:type="dcterms:W3CDTF">2025-11-18T14:10:01Z</dcterms:modified>
</cp:coreProperties>
</file>